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AIE Studies\12 Practicals\3 Analyze and Visualize Data AVDS\Final\"/>
    </mc:Choice>
  </mc:AlternateContent>
  <xr:revisionPtr revIDLastSave="0" documentId="13_ncr:1_{58E58881-77DD-4A93-91E0-0B232B5D8E3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2" r:id="rId1"/>
    <sheet name="Sheet2" sheetId="3" r:id="rId2"/>
  </sheets>
  <definedNames>
    <definedName name="ExternalData_1" localSheetId="0" hidden="1">Sheet1!$A$1:$E$11</definedName>
    <definedName name="ExternalData_2" localSheetId="1" hidden="1">Sheet2!$A$1:$E$21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3" l="1"/>
  <c r="C22" i="3"/>
  <c r="D22" i="3"/>
  <c r="E2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2AE217-C28C-4EC3-AE66-36ADF7833927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BC59C72A-EF3E-494E-905C-F92A73DA5BA1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<sst xmlns="http://schemas.openxmlformats.org/spreadsheetml/2006/main" count="71" uniqueCount="24">
  <si>
    <t>Product Name</t>
  </si>
  <si>
    <t>Category</t>
  </si>
  <si>
    <t>Units Sold</t>
  </si>
  <si>
    <t>Unit Price</t>
  </si>
  <si>
    <t>Total Sales</t>
  </si>
  <si>
    <t>Headphones</t>
  </si>
  <si>
    <t>Electronics</t>
  </si>
  <si>
    <t>Vacuum Cleaner</t>
  </si>
  <si>
    <t>Home Appliances</t>
  </si>
  <si>
    <t>Milk</t>
  </si>
  <si>
    <t>Groceries</t>
  </si>
  <si>
    <t>Air Conditioner</t>
  </si>
  <si>
    <t>Refrigerator</t>
  </si>
  <si>
    <t>Rice</t>
  </si>
  <si>
    <t>Smartwatch</t>
  </si>
  <si>
    <t>Bread</t>
  </si>
  <si>
    <t>Smartphone</t>
  </si>
  <si>
    <t>Washing Machine</t>
  </si>
  <si>
    <t>Laptop</t>
  </si>
  <si>
    <t>Pasta</t>
  </si>
  <si>
    <t>Eggs</t>
  </si>
  <si>
    <t>Sneakers</t>
  </si>
  <si>
    <t>Clothing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</si>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</sst>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R&quot;#,##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166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10">
    <dxf>
      <numFmt numFmtId="166" formatCode="&quot;R&quot;#,##0"/>
    </dxf>
    <dxf>
      <numFmt numFmtId="166" formatCode="&quot;R&quot;#,##0"/>
    </dxf>
    <dxf>
      <numFmt numFmtId="0" formatCode="General"/>
    </dxf>
    <dxf>
      <numFmt numFmtId="0" formatCode="General"/>
    </dxf>
    <dxf>
      <numFmt numFmtId="166" formatCode="&quot;R&quot;#,##0"/>
    </dxf>
    <dxf>
      <numFmt numFmtId="166" formatCode="&quot;R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38FA32-8113-43E9-B374-E4F374D3840F}" autoFormatId="16" applyNumberFormats="0" applyBorderFormats="0" applyFontFormats="0" applyPatternFormats="0" applyAlignmentFormats="0" applyWidthHeightFormats="0">
  <queryTableRefresh nextId="6">
    <queryTableFields count="5">
      <queryTableField id="1" name="Product Name" tableColumnId="1"/>
      <queryTableField id="2" name="Category" tableColumnId="2"/>
      <queryTableField id="3" name="Units Sold" tableColumnId="3"/>
      <queryTableField id="4" name="Unit Price" tableColumnId="4"/>
      <queryTableField id="5" name="Total Sale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CB72BA9-31B7-458F-9610-6F89573AC110}" autoFormatId="16" applyNumberFormats="0" applyBorderFormats="0" applyFontFormats="0" applyPatternFormats="0" applyAlignmentFormats="0" applyWidthHeightFormats="0">
  <queryTableRefresh nextId="6">
    <queryTableFields count="5">
      <queryTableField id="1" name="Product Name" tableColumnId="1"/>
      <queryTableField id="2" name="Category" tableColumnId="2"/>
      <queryTableField id="3" name="Units Sold" tableColumnId="3"/>
      <queryTableField id="4" name="Unit Price" tableColumnId="4"/>
      <queryTableField id="5" name="Total Sale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9775DA-694D-40B3-B6AD-31B3D79E9D84}" name="Sheet1" displayName="Sheet1" ref="A1:E11" tableType="queryTable" totalsRowShown="0">
  <autoFilter ref="A1:E11" xr:uid="{2C9775DA-694D-40B3-B6AD-31B3D79E9D84}"/>
  <tableColumns count="5">
    <tableColumn id="1" xr3:uid="{319EC5C4-FF59-4996-AC7B-1982D6AB18FF}" uniqueName="1" name="Product Name" queryTableFieldId="1" dataDxfId="9"/>
    <tableColumn id="2" xr3:uid="{4A93FCA1-3577-47E1-A5E8-164B3A8C72DB}" uniqueName="2" name="Category" queryTableFieldId="2" dataDxfId="8"/>
    <tableColumn id="3" xr3:uid="{77C966A2-5D6D-4E02-980E-0FF5E7750E33}" uniqueName="3" name="Units Sold" queryTableFieldId="3"/>
    <tableColumn id="4" xr3:uid="{6D823B2B-252B-4F2D-A5E1-ED5BEBCC9FBC}" uniqueName="4" name="Unit Price" queryTableFieldId="4"/>
    <tableColumn id="5" xr3:uid="{72B65C59-2497-4BF3-8D6F-8E6A94A441AE}" uniqueName="5" name="Total Sales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115354-5118-4DD2-B408-188791FE77D6}" name="Sheet1__2" displayName="Sheet1__2" ref="A1:E22" tableType="queryTable" totalsRowCount="1">
  <autoFilter ref="A1:E21" xr:uid="{7D115354-5118-4DD2-B408-188791FE77D6}"/>
  <tableColumns count="5">
    <tableColumn id="1" xr3:uid="{9B4EBF32-D87A-46ED-81E6-09CDEEC58773}" uniqueName="1" name="Product Name" queryTableFieldId="1" dataDxfId="7" totalsRowDxfId="3"/>
    <tableColumn id="2" xr3:uid="{0CB21CB4-5DA1-4228-9001-01A6AE5A50D9}" uniqueName="2" name="Category" queryTableFieldId="2" dataDxfId="6" totalsRowDxfId="2"/>
    <tableColumn id="3" xr3:uid="{08E81C0D-4320-4F6F-90B3-3AB5326CC1CC}" uniqueName="3" name="Units Sold" totalsRowFunction="custom" queryTableFieldId="3">
      <totalsRowFormula>SUM(Sheet1__2[Units Sold])</totalsRowFormula>
    </tableColumn>
    <tableColumn id="4" xr3:uid="{5BA10B6A-B0E4-4CEA-AE73-F85E9EBC07D5}" uniqueName="4" name="Unit Price" totalsRowFunction="custom" queryTableFieldId="4" dataDxfId="5" totalsRowDxfId="1">
      <totalsRowFormula>SUM(Sheet1__2[Unit Price])</totalsRowFormula>
    </tableColumn>
    <tableColumn id="5" xr3:uid="{5F3B8FFA-3B5A-42A9-8B1C-33C0CB700146}" uniqueName="5" name="Total Sales" totalsRowFunction="custom" queryTableFieldId="5" dataDxfId="4" totalsRowDxfId="0">
      <totalsRowFormula>SUM(Sheet1__2[Total Sales])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5CC3-54E1-4E7F-A07A-DDF49EE48ACC}">
  <dimension ref="A1:E11"/>
  <sheetViews>
    <sheetView workbookViewId="0">
      <selection activeCell="A2" sqref="A2:E11"/>
    </sheetView>
  </sheetViews>
  <sheetFormatPr defaultRowHeight="14.4" x14ac:dyDescent="0.3"/>
  <cols>
    <col min="1" max="1" width="15.44140625" bestFit="1" customWidth="1"/>
    <col min="2" max="2" width="15.109375" bestFit="1" customWidth="1"/>
    <col min="3" max="3" width="11.6640625" bestFit="1" customWidth="1"/>
    <col min="4" max="4" width="11.33203125" bestFit="1" customWidth="1"/>
    <col min="5" max="5" width="12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 t="s">
        <v>6</v>
      </c>
      <c r="C2">
        <v>142</v>
      </c>
      <c r="D2">
        <v>59.93</v>
      </c>
      <c r="E2">
        <v>8510.06</v>
      </c>
    </row>
    <row r="3" spans="1:5" x14ac:dyDescent="0.3">
      <c r="A3" s="1" t="s">
        <v>5</v>
      </c>
      <c r="B3" s="1" t="s">
        <v>6</v>
      </c>
      <c r="C3">
        <v>20</v>
      </c>
      <c r="D3">
        <v>130.57</v>
      </c>
      <c r="E3">
        <v>2611.4</v>
      </c>
    </row>
    <row r="4" spans="1:5" x14ac:dyDescent="0.3">
      <c r="A4" s="1" t="s">
        <v>7</v>
      </c>
      <c r="B4" s="1" t="s">
        <v>8</v>
      </c>
      <c r="C4">
        <v>116</v>
      </c>
      <c r="D4">
        <v>150.19999999999999</v>
      </c>
      <c r="E4">
        <v>17423.2</v>
      </c>
    </row>
    <row r="5" spans="1:5" x14ac:dyDescent="0.3">
      <c r="A5" s="1" t="s">
        <v>9</v>
      </c>
      <c r="B5" s="1" t="s">
        <v>10</v>
      </c>
      <c r="C5">
        <v>315</v>
      </c>
      <c r="D5">
        <v>353.99</v>
      </c>
      <c r="E5">
        <v>111506.85</v>
      </c>
    </row>
    <row r="6" spans="1:5" x14ac:dyDescent="0.3">
      <c r="A6" s="1" t="s">
        <v>11</v>
      </c>
      <c r="B6" s="1" t="s">
        <v>8</v>
      </c>
      <c r="C6">
        <v>279</v>
      </c>
      <c r="D6">
        <v>331.91</v>
      </c>
      <c r="E6">
        <v>92602.89</v>
      </c>
    </row>
    <row r="7" spans="1:5" x14ac:dyDescent="0.3">
      <c r="A7" s="1" t="s">
        <v>12</v>
      </c>
      <c r="B7" s="1" t="s">
        <v>8</v>
      </c>
      <c r="C7">
        <v>314</v>
      </c>
      <c r="D7">
        <v>154.28</v>
      </c>
      <c r="E7">
        <v>48443.92</v>
      </c>
    </row>
    <row r="8" spans="1:5" x14ac:dyDescent="0.3">
      <c r="A8" s="1" t="s">
        <v>13</v>
      </c>
      <c r="B8" s="1" t="s">
        <v>10</v>
      </c>
      <c r="C8">
        <v>23</v>
      </c>
      <c r="D8">
        <v>469.3</v>
      </c>
      <c r="E8">
        <v>10793.9</v>
      </c>
    </row>
    <row r="9" spans="1:5" x14ac:dyDescent="0.3">
      <c r="A9" s="1" t="s">
        <v>9</v>
      </c>
      <c r="B9" s="1" t="s">
        <v>10</v>
      </c>
      <c r="C9">
        <v>409</v>
      </c>
      <c r="D9">
        <v>359.44</v>
      </c>
      <c r="E9">
        <v>147010.96</v>
      </c>
    </row>
    <row r="10" spans="1:5" x14ac:dyDescent="0.3">
      <c r="A10" s="1" t="s">
        <v>14</v>
      </c>
      <c r="B10" s="1" t="s">
        <v>6</v>
      </c>
      <c r="C10">
        <v>366</v>
      </c>
      <c r="D10">
        <v>276.10000000000002</v>
      </c>
      <c r="E10">
        <v>101052.6</v>
      </c>
    </row>
    <row r="11" spans="1:5" x14ac:dyDescent="0.3">
      <c r="A11" s="1" t="s">
        <v>15</v>
      </c>
      <c r="B11" s="1" t="s">
        <v>10</v>
      </c>
      <c r="C11">
        <v>268</v>
      </c>
      <c r="D11">
        <v>439.25</v>
      </c>
      <c r="E11">
        <v>117719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D18D4-175B-487D-B238-6F8AF73F74EF}">
  <dimension ref="A1:G24"/>
  <sheetViews>
    <sheetView tabSelected="1" workbookViewId="0">
      <selection activeCell="G24" sqref="G24"/>
    </sheetView>
  </sheetViews>
  <sheetFormatPr defaultRowHeight="14.4" x14ac:dyDescent="0.3"/>
  <cols>
    <col min="1" max="1" width="15.44140625" bestFit="1" customWidth="1"/>
    <col min="2" max="2" width="15.109375" bestFit="1" customWidth="1"/>
    <col min="3" max="3" width="11.6640625" bestFit="1" customWidth="1"/>
    <col min="4" max="4" width="11.33203125" style="2" bestFit="1" customWidth="1"/>
    <col min="5" max="5" width="12.109375" style="2" bestFit="1" customWidth="1"/>
    <col min="6" max="6" width="11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s="2" t="s">
        <v>3</v>
      </c>
      <c r="E1" s="2" t="s">
        <v>4</v>
      </c>
    </row>
    <row r="2" spans="1:5" x14ac:dyDescent="0.3">
      <c r="A2" s="1" t="s">
        <v>16</v>
      </c>
      <c r="B2" s="1" t="s">
        <v>6</v>
      </c>
      <c r="C2">
        <v>217</v>
      </c>
      <c r="D2" s="2">
        <v>268.83999999999997</v>
      </c>
      <c r="E2" s="2">
        <v>58338.28</v>
      </c>
    </row>
    <row r="3" spans="1:5" x14ac:dyDescent="0.3">
      <c r="A3" s="1" t="s">
        <v>17</v>
      </c>
      <c r="B3" s="1" t="s">
        <v>8</v>
      </c>
      <c r="C3">
        <v>434</v>
      </c>
      <c r="D3" s="2">
        <v>148.11000000000001</v>
      </c>
      <c r="E3" s="2">
        <v>64279.74</v>
      </c>
    </row>
    <row r="4" spans="1:5" x14ac:dyDescent="0.3">
      <c r="A4" s="1" t="s">
        <v>18</v>
      </c>
      <c r="B4" s="1" t="s">
        <v>6</v>
      </c>
      <c r="C4">
        <v>342</v>
      </c>
      <c r="D4" s="2">
        <v>253.75</v>
      </c>
      <c r="E4" s="2">
        <v>86782.5</v>
      </c>
    </row>
    <row r="5" spans="1:5" x14ac:dyDescent="0.3">
      <c r="A5" s="1" t="s">
        <v>7</v>
      </c>
      <c r="B5" s="1" t="s">
        <v>8</v>
      </c>
      <c r="C5">
        <v>82</v>
      </c>
      <c r="D5" s="2">
        <v>34.5</v>
      </c>
      <c r="E5" s="2">
        <v>2829</v>
      </c>
    </row>
    <row r="6" spans="1:5" x14ac:dyDescent="0.3">
      <c r="A6" s="1" t="s">
        <v>15</v>
      </c>
      <c r="B6" s="1" t="s">
        <v>10</v>
      </c>
      <c r="C6">
        <v>111</v>
      </c>
      <c r="D6" s="2">
        <v>360.59</v>
      </c>
      <c r="E6" s="2">
        <v>40025.49</v>
      </c>
    </row>
    <row r="7" spans="1:5" x14ac:dyDescent="0.3">
      <c r="A7" s="1" t="s">
        <v>19</v>
      </c>
      <c r="B7" s="1" t="s">
        <v>10</v>
      </c>
      <c r="C7">
        <v>367</v>
      </c>
      <c r="D7" s="2">
        <v>298.72000000000003</v>
      </c>
      <c r="E7" s="2">
        <v>109630.24</v>
      </c>
    </row>
    <row r="8" spans="1:5" x14ac:dyDescent="0.3">
      <c r="A8" s="1" t="s">
        <v>19</v>
      </c>
      <c r="B8" s="1" t="s">
        <v>10</v>
      </c>
      <c r="C8">
        <v>277</v>
      </c>
      <c r="D8" s="2">
        <v>427.36</v>
      </c>
      <c r="E8" s="2">
        <v>118378.72</v>
      </c>
    </row>
    <row r="9" spans="1:5" x14ac:dyDescent="0.3">
      <c r="A9" s="1" t="s">
        <v>15</v>
      </c>
      <c r="B9" s="1" t="s">
        <v>10</v>
      </c>
      <c r="C9">
        <v>422</v>
      </c>
      <c r="D9" s="2">
        <v>376.6</v>
      </c>
      <c r="E9" s="2">
        <v>158925.20000000001</v>
      </c>
    </row>
    <row r="10" spans="1:5" x14ac:dyDescent="0.3">
      <c r="A10" s="1" t="s">
        <v>20</v>
      </c>
      <c r="B10" s="1" t="s">
        <v>10</v>
      </c>
      <c r="C10">
        <v>469</v>
      </c>
      <c r="D10" s="2">
        <v>312.24</v>
      </c>
      <c r="E10" s="2">
        <v>146440.56</v>
      </c>
    </row>
    <row r="11" spans="1:5" x14ac:dyDescent="0.3">
      <c r="A11" s="1" t="s">
        <v>21</v>
      </c>
      <c r="B11" s="1" t="s">
        <v>22</v>
      </c>
      <c r="C11">
        <v>95</v>
      </c>
      <c r="D11" s="2">
        <v>228.12</v>
      </c>
      <c r="E11" s="2">
        <v>21671.4</v>
      </c>
    </row>
    <row r="12" spans="1:5" x14ac:dyDescent="0.3">
      <c r="A12" s="1" t="s">
        <v>5</v>
      </c>
      <c r="B12" s="1" t="s">
        <v>6</v>
      </c>
      <c r="C12">
        <v>142</v>
      </c>
      <c r="D12" s="2">
        <v>59.93</v>
      </c>
      <c r="E12" s="2">
        <v>8510.06</v>
      </c>
    </row>
    <row r="13" spans="1:5" x14ac:dyDescent="0.3">
      <c r="A13" s="1" t="s">
        <v>5</v>
      </c>
      <c r="B13" s="1" t="s">
        <v>6</v>
      </c>
      <c r="C13">
        <v>20</v>
      </c>
      <c r="D13" s="2">
        <v>130.57</v>
      </c>
      <c r="E13" s="2">
        <v>2611.4</v>
      </c>
    </row>
    <row r="14" spans="1:5" x14ac:dyDescent="0.3">
      <c r="A14" s="1" t="s">
        <v>7</v>
      </c>
      <c r="B14" s="1" t="s">
        <v>8</v>
      </c>
      <c r="C14">
        <v>116</v>
      </c>
      <c r="D14" s="2">
        <v>150.19999999999999</v>
      </c>
      <c r="E14" s="2">
        <v>17423.2</v>
      </c>
    </row>
    <row r="15" spans="1:5" x14ac:dyDescent="0.3">
      <c r="A15" s="1" t="s">
        <v>9</v>
      </c>
      <c r="B15" s="1" t="s">
        <v>10</v>
      </c>
      <c r="C15">
        <v>315</v>
      </c>
      <c r="D15" s="2">
        <v>353.99</v>
      </c>
      <c r="E15" s="2">
        <v>111506.85</v>
      </c>
    </row>
    <row r="16" spans="1:5" x14ac:dyDescent="0.3">
      <c r="A16" s="1" t="s">
        <v>11</v>
      </c>
      <c r="B16" s="1" t="s">
        <v>8</v>
      </c>
      <c r="C16">
        <v>279</v>
      </c>
      <c r="D16" s="2">
        <v>331.91</v>
      </c>
      <c r="E16" s="2">
        <v>92602.89</v>
      </c>
    </row>
    <row r="17" spans="1:7" x14ac:dyDescent="0.3">
      <c r="A17" s="1" t="s">
        <v>12</v>
      </c>
      <c r="B17" s="1" t="s">
        <v>8</v>
      </c>
      <c r="C17">
        <v>314</v>
      </c>
      <c r="D17" s="2">
        <v>154.28</v>
      </c>
      <c r="E17" s="2">
        <v>48443.92</v>
      </c>
    </row>
    <row r="18" spans="1:7" x14ac:dyDescent="0.3">
      <c r="A18" s="1" t="s">
        <v>13</v>
      </c>
      <c r="B18" s="1" t="s">
        <v>10</v>
      </c>
      <c r="C18">
        <v>23</v>
      </c>
      <c r="D18" s="2">
        <v>469.3</v>
      </c>
      <c r="E18" s="2">
        <v>10793.9</v>
      </c>
    </row>
    <row r="19" spans="1:7" x14ac:dyDescent="0.3">
      <c r="A19" s="1" t="s">
        <v>9</v>
      </c>
      <c r="B19" s="1" t="s">
        <v>10</v>
      </c>
      <c r="C19">
        <v>409</v>
      </c>
      <c r="D19" s="2">
        <v>359.44</v>
      </c>
      <c r="E19" s="2">
        <v>147010.96</v>
      </c>
    </row>
    <row r="20" spans="1:7" x14ac:dyDescent="0.3">
      <c r="A20" s="1" t="s">
        <v>14</v>
      </c>
      <c r="B20" s="1" t="s">
        <v>6</v>
      </c>
      <c r="C20">
        <v>366</v>
      </c>
      <c r="D20" s="2">
        <v>276.10000000000002</v>
      </c>
      <c r="E20" s="2">
        <v>101052.6</v>
      </c>
    </row>
    <row r="21" spans="1:7" x14ac:dyDescent="0.3">
      <c r="A21" s="1" t="s">
        <v>15</v>
      </c>
      <c r="B21" s="1" t="s">
        <v>10</v>
      </c>
      <c r="C21">
        <v>268</v>
      </c>
      <c r="D21" s="2">
        <v>439.25</v>
      </c>
      <c r="E21" s="2">
        <v>117719</v>
      </c>
    </row>
    <row r="22" spans="1:7" x14ac:dyDescent="0.3">
      <c r="A22" s="1"/>
      <c r="B22" s="1"/>
      <c r="C22">
        <f>SUM(Sheet1__2[Units Sold])</f>
        <v>5068</v>
      </c>
      <c r="D22" s="2">
        <f>SUM(Sheet1__2[Unit Price])</f>
        <v>5433.7999999999993</v>
      </c>
      <c r="E22" s="2">
        <f>SUM(Sheet1__2[Total Sales])</f>
        <v>1464975.91</v>
      </c>
    </row>
    <row r="24" spans="1:7" x14ac:dyDescent="0.3">
      <c r="F24" t="s">
        <v>23</v>
      </c>
      <c r="G24" s="3">
        <f>(Sheet1__2[[#Totals],[Total Sales]] - Sheet1__2[[#Totals],[Unit Price]]) / Sheet1__2[[#Totals],[Total Sales]]</f>
        <v>0.99629086050978133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80D826-0AD4-49D4-8F88-7F92DF8C38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Janay Wesso</dc:creator>
  <cp:lastModifiedBy>Janay Wesso</cp:lastModifiedBy>
  <dcterms:created xsi:type="dcterms:W3CDTF">2015-06-05T18:17:20Z</dcterms:created>
  <dcterms:modified xsi:type="dcterms:W3CDTF">2025-08-14T14:21:20Z</dcterms:modified>
</cp:coreProperties>
</file>