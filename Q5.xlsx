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AIE Studies\12 Practicals\3 Analyze and Visualize Data AVDS\Final\"/>
    </mc:Choice>
  </mc:AlternateContent>
  <xr:revisionPtr revIDLastSave="0" documentId="8_{60D84773-FF62-4988-A908-28B2C6C0792B}" xr6:coauthVersionLast="47" xr6:coauthVersionMax="47" xr10:uidLastSave="{00000000-0000-0000-0000-000000000000}"/>
  <bookViews>
    <workbookView xWindow="28680" yWindow="-120" windowWidth="29040" windowHeight="15720" activeTab="1" xr2:uid="{00000000-000D-0000-FFFF-FFFF00000000}"/>
  </bookViews>
  <sheets>
    <sheet name="Sheet1" sheetId="3" r:id="rId1"/>
    <sheet name="Sheet2" sheetId="4" r:id="rId2"/>
    <sheet name="Sheet3" sheetId="5" r:id="rId3"/>
    <sheet name="sales_transactions_data PM0305" sheetId="2" r:id="rId4"/>
  </sheets>
  <definedNames>
    <definedName name="ExternalData_1" localSheetId="3" hidden="1">'sales_transactions_data PM0305'!$A$1:$H$25</definedName>
    <definedName name="Slicer_Year">#N/A</definedName>
  </definedNames>
  <calcPr calcId="191029"/>
  <pivotCaches>
    <pivotCache cacheId="2"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2" l="1"/>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C3" i="2"/>
  <c r="B3" i="2"/>
  <c r="C2"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A2753-C21F-4E9E-B503-C4E778D8EBCF}" keepAlive="1" name="Query - sales_transactions_data PM0305" description="Connection to the 'sales_transactions_data PM0305' query in the workbook." type="5" refreshedVersion="8" background="1" saveData="1">
    <dbPr connection="Provider=Microsoft.Mashup.OleDb.1;Data Source=$Workbook$;Location=&quot;sales_transactions_data PM0305&quot;;Extended Properties=&quot;&quot;" command="SELECT * FROM [sales_transactions_data PM0305]"/>
  </connection>
</connections>
</file>

<file path=xl/sharedStrings.xml><?xml version="1.0" encoding="utf-8"?>
<sst xmlns="http://schemas.openxmlformats.org/spreadsheetml/2006/main" count="153" uniqueCount="64">
  <si>
    <t>Transaction Date</t>
  </si>
  <si>
    <t>Product Category</t>
  </si>
  <si>
    <t>Product Subcategory</t>
  </si>
  <si>
    <t>Product Name</t>
  </si>
  <si>
    <t>Quantity Sold</t>
  </si>
  <si>
    <t>Sales Amount</t>
  </si>
  <si>
    <t>Electronics</t>
  </si>
  <si>
    <t>Computers</t>
  </si>
  <si>
    <t>Laptop Model A</t>
  </si>
  <si>
    <t>Clothing</t>
  </si>
  <si>
    <t>Men's Wear</t>
  </si>
  <si>
    <t>T-Shirt Model B</t>
  </si>
  <si>
    <t>Home &amp; Kitchen</t>
  </si>
  <si>
    <t>Kitchenware</t>
  </si>
  <si>
    <t>Coffee Maker</t>
  </si>
  <si>
    <t>Mobile Phones</t>
  </si>
  <si>
    <t>Smartphone Model C</t>
  </si>
  <si>
    <t>Sports</t>
  </si>
  <si>
    <t>Fitness Equipment</t>
  </si>
  <si>
    <t>Yoga Mat</t>
  </si>
  <si>
    <t>Books</t>
  </si>
  <si>
    <t>Fiction</t>
  </si>
  <si>
    <t>Novel - Time's Arrow</t>
  </si>
  <si>
    <t>Audio</t>
  </si>
  <si>
    <t>Bluetooth Speaker</t>
  </si>
  <si>
    <t>Women's Wear</t>
  </si>
  <si>
    <t>Dress Model D</t>
  </si>
  <si>
    <t>Furniture</t>
  </si>
  <si>
    <t>Office Chair</t>
  </si>
  <si>
    <t>Tablet Model E</t>
  </si>
  <si>
    <t>Outdoor Gear</t>
  </si>
  <si>
    <t>Camping Tent</t>
  </si>
  <si>
    <t>Non-Fiction</t>
  </si>
  <si>
    <t>History of Art</t>
  </si>
  <si>
    <t>Smartphone Model F</t>
  </si>
  <si>
    <t>Jacket Model G</t>
  </si>
  <si>
    <t>Blender</t>
  </si>
  <si>
    <t>Headphones</t>
  </si>
  <si>
    <t>Dumbbells</t>
  </si>
  <si>
    <t>Fantasy Novel - Dragon's Quest</t>
  </si>
  <si>
    <t>Desktop Model H</t>
  </si>
  <si>
    <t>Skirt Model I</t>
  </si>
  <si>
    <t>Dining Table</t>
  </si>
  <si>
    <t>Smartphone Model J</t>
  </si>
  <si>
    <t>Fishing Rod</t>
  </si>
  <si>
    <t>Science for Kids</t>
  </si>
  <si>
    <t>Row Labels</t>
  </si>
  <si>
    <t>(blank)</t>
  </si>
  <si>
    <t>Grand Total</t>
  </si>
  <si>
    <t>Sum of Sales Amount</t>
  </si>
  <si>
    <t>Year</t>
  </si>
  <si>
    <t>Month</t>
  </si>
  <si>
    <t>July</t>
  </si>
  <si>
    <t>January</t>
  </si>
  <si>
    <t>October</t>
  </si>
  <si>
    <t>June</t>
  </si>
  <si>
    <t>May</t>
  </si>
  <si>
    <t>September</t>
  </si>
  <si>
    <t>March</t>
  </si>
  <si>
    <t>February</t>
  </si>
  <si>
    <t>April</t>
  </si>
  <si>
    <t>December</t>
  </si>
  <si>
    <t>November</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</si>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</sst>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cellXfs>
  <cellStyles count="1">
    <cellStyle name="Normal" xfId="0" builtinId="0"/>
  </cellStyles>
  <dxfs count="62">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0" formatCode="General"/>
    </dxf>
    <dxf>
      <numFmt numFmtId="0" formatCode="General"/>
    </dxf>
    <dxf>
      <numFmt numFmtId="0" formatCode="General"/>
    </dxf>
    <dxf>
      <numFmt numFmtId="19" formatCode="yyyy/mm/dd"/>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[Q5.xlsx]Sheet2!PivotTable2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For The Year</a:t>
            </a:r>
          </a:p>
        </c:rich>
      </c:tx>
      <c:layout>
        <c:manualLayout>
          <c:xMode val="edge"/>
          <c:yMode val="edge"/>
          <c:x val="0.37283979284364743"/>
          <c:y val="2.33513074476005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2619120320181"/>
          <c:y val="9.2660589168690632E-2"/>
          <c:w val="0.76932423405788519"/>
          <c:h val="0.64181360643357011"/>
        </c:manualLayout>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Sheet2!$A$4:$A$29</c:f>
              <c:multiLvlStrCache>
                <c:ptCount val="12"/>
                <c:lvl>
                  <c:pt idx="0">
                    <c:v>Electronics</c:v>
                  </c:pt>
                  <c:pt idx="1">
                    <c:v>Clothing</c:v>
                  </c:pt>
                  <c:pt idx="2">
                    <c:v>Home &amp; Kitchen</c:v>
                  </c:pt>
                  <c:pt idx="3">
                    <c:v>Electronics</c:v>
                  </c:pt>
                  <c:pt idx="4">
                    <c:v>Sports</c:v>
                  </c:pt>
                  <c:pt idx="5">
                    <c:v>Books</c:v>
                  </c:pt>
                  <c:pt idx="6">
                    <c:v>Electronics</c:v>
                  </c:pt>
                  <c:pt idx="7">
                    <c:v>Clothing</c:v>
                  </c:pt>
                  <c:pt idx="8">
                    <c:v>Home &amp; Kitchen</c:v>
                  </c:pt>
                  <c:pt idx="9">
                    <c:v>Electronics</c:v>
                  </c:pt>
                  <c:pt idx="10">
                    <c:v>Sports</c:v>
                  </c:pt>
                  <c:pt idx="11">
                    <c:v>Books</c:v>
                  </c:pt>
                </c:lvl>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2023</c:v>
                  </c:pt>
                </c:lvl>
              </c:multiLvlStrCache>
            </c:multiLvlStrRef>
          </c:cat>
          <c:val>
            <c:numRef>
              <c:f>Sheet2!$B$4:$B$29</c:f>
              <c:numCache>
                <c:formatCode>"R"#,##0</c:formatCode>
                <c:ptCount val="12"/>
                <c:pt idx="0">
                  <c:v>20000</c:v>
                </c:pt>
                <c:pt idx="1">
                  <c:v>7500</c:v>
                </c:pt>
                <c:pt idx="2">
                  <c:v>4000</c:v>
                </c:pt>
                <c:pt idx="3">
                  <c:v>5000</c:v>
                </c:pt>
                <c:pt idx="4">
                  <c:v>3000</c:v>
                </c:pt>
                <c:pt idx="5">
                  <c:v>1050</c:v>
                </c:pt>
                <c:pt idx="6">
                  <c:v>15000</c:v>
                </c:pt>
                <c:pt idx="7">
                  <c:v>4000</c:v>
                </c:pt>
                <c:pt idx="8">
                  <c:v>10000</c:v>
                </c:pt>
                <c:pt idx="9">
                  <c:v>30000</c:v>
                </c:pt>
                <c:pt idx="10">
                  <c:v>2500</c:v>
                </c:pt>
                <c:pt idx="11">
                  <c:v>2400</c:v>
                </c:pt>
              </c:numCache>
            </c:numRef>
          </c:val>
          <c:smooth val="0"/>
          <c:extLst>
            <c:ext xmlns:c16="http://schemas.microsoft.com/office/drawing/2014/chart" uri="{C3380CC4-5D6E-409C-BE32-E72D297353CC}">
              <c16:uniqueId val="{00000000-AAE1-4DA3-BC4F-5C2573EAF685}"/>
            </c:ext>
          </c:extLst>
        </c:ser>
        <c:dLbls>
          <c:showLegendKey val="0"/>
          <c:showVal val="0"/>
          <c:showCatName val="0"/>
          <c:showSerName val="0"/>
          <c:showPercent val="0"/>
          <c:showBubbleSize val="0"/>
        </c:dLbls>
        <c:marker val="1"/>
        <c:smooth val="0"/>
        <c:axId val="1199977247"/>
        <c:axId val="1199977727"/>
      </c:lineChart>
      <c:catAx>
        <c:axId val="11999772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Categories and 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7727"/>
        <c:crosses val="autoZero"/>
        <c:auto val="1"/>
        <c:lblAlgn val="ctr"/>
        <c:lblOffset val="100"/>
        <c:noMultiLvlLbl val="0"/>
      </c:catAx>
      <c:valAx>
        <c:axId val="11999777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Sale Total</a:t>
                </a:r>
              </a:p>
            </c:rich>
          </c:tx>
          <c:layout>
            <c:manualLayout>
              <c:xMode val="edge"/>
              <c:yMode val="edge"/>
              <c:x val="1.703152239349939E-2"/>
              <c:y val="0.3681711705860350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97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129540</xdr:colOff>
      <xdr:row>1</xdr:row>
      <xdr:rowOff>59054</xdr:rowOff>
    </xdr:from>
    <xdr:to>
      <xdr:col>14</xdr:col>
      <xdr:colOff>514350</xdr:colOff>
      <xdr:row>34</xdr:row>
      <xdr:rowOff>102870</xdr:rowOff>
    </xdr:to>
    <xdr:graphicFrame macro="">
      <xdr:nvGraphicFramePr>
        <xdr:cNvPr id="3" name="Chart 2">
          <a:extLst>
            <a:ext uri="{FF2B5EF4-FFF2-40B4-BE49-F238E27FC236}">
              <a16:creationId xmlns:a16="http://schemas.microsoft.com/office/drawing/2014/main" id="{51B9DAE2-F891-24A6-38D9-1A929913B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560070</xdr:colOff>
      <xdr:row>8</xdr:row>
      <xdr:rowOff>83820</xdr:rowOff>
    </xdr:from>
    <xdr:to>
      <xdr:col>17</xdr:col>
      <xdr:colOff>554355</xdr:colOff>
      <xdr:row>22</xdr:row>
      <xdr:rowOff>17145</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5F4AA958-E1A0-7106-D91B-79F7B97016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26115" y="1533525"/>
              <a:ext cx="1821180" cy="24688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1.542284953706" createdVersion="8" refreshedVersion="8" minRefreshableVersion="3" recordCount="25" xr:uid="{F2E8CF26-15C2-4442-BA31-5EB0A7603015}">
  <cacheSource type="worksheet">
    <worksheetSource ref="A1:H1048576" sheet="sales_transactions_data PM0305"/>
  </cacheSource>
  <cacheFields count="8">
    <cacheField name="Transaction Date" numFmtId="0">
      <sharedItems containsNonDate="0" containsDate="1" containsString="0" containsBlank="1" minDate="2022-01-05T00:00:00" maxDate="2023-12-31T00:00:00" count="25">
        <d v="2022-01-05T00:00:00"/>
        <d v="2022-02-10T00:00:00"/>
        <d v="2022-03-15T00:00:00"/>
        <d v="2022-04-20T00:00:00"/>
        <d v="2022-05-25T00:00:00"/>
        <d v="2022-06-30T00:00:00"/>
        <d v="2022-07-05T00:00:00"/>
        <d v="2022-08-10T00:00:00"/>
        <d v="2022-09-15T00:00:00"/>
        <d v="2022-10-20T00:00:00"/>
        <d v="2022-11-25T00:00:00"/>
        <d v="2022-12-30T00:00:00"/>
        <d v="2023-01-05T00:00:00"/>
        <d v="2023-02-10T00:00:00"/>
        <d v="2023-03-15T00:00:00"/>
        <d v="2023-04-20T00:00:00"/>
        <d v="2023-05-25T00:00:00"/>
        <d v="2023-06-30T00:00:00"/>
        <d v="2023-07-05T00:00:00"/>
        <d v="2023-08-10T00:00:00"/>
        <d v="2023-09-15T00:00:00"/>
        <d v="2023-10-20T00:00:00"/>
        <d v="2023-11-25T00:00:00"/>
        <d v="2023-12-30T00:00:00"/>
        <m/>
      </sharedItems>
    </cacheField>
    <cacheField name="Year" numFmtId="0">
      <sharedItems containsString="0" containsBlank="1" containsNumber="1" containsInteger="1" minValue="2022" maxValue="2023" count="3">
        <n v="2022"/>
        <n v="2023"/>
        <m/>
      </sharedItems>
    </cacheField>
    <cacheField name="Month" numFmtId="0">
      <sharedItems containsBlank="1" count="13">
        <s v="January"/>
        <s v="February"/>
        <s v="March"/>
        <s v="April"/>
        <s v="May"/>
        <s v="June"/>
        <s v="July"/>
        <s v="August"/>
        <s v="September"/>
        <s v="October"/>
        <s v="November"/>
        <s v="December"/>
        <m/>
      </sharedItems>
    </cacheField>
    <cacheField name="Product Category" numFmtId="0">
      <sharedItems containsBlank="1" count="6">
        <s v="Electronics"/>
        <s v="Clothing"/>
        <s v="Home &amp; Kitchen"/>
        <s v="Sports"/>
        <s v="Books"/>
        <m/>
      </sharedItems>
    </cacheField>
    <cacheField name="Product Subcategory" numFmtId="0">
      <sharedItems containsBlank="1" count="12">
        <s v="Computers"/>
        <s v="Men's Wear"/>
        <s v="Kitchenware"/>
        <s v="Mobile Phones"/>
        <s v="Fitness Equipment"/>
        <s v="Fiction"/>
        <s v="Audio"/>
        <s v="Women's Wear"/>
        <s v="Furniture"/>
        <s v="Outdoor Gear"/>
        <s v="Non-Fiction"/>
        <m/>
      </sharedItems>
    </cacheField>
    <cacheField name="Product Name" numFmtId="0">
      <sharedItems containsBlank="1" count="25">
        <s v="Laptop Model A"/>
        <s v="T-Shirt Model B"/>
        <s v="Coffee Maker"/>
        <s v="Smartphone Model C"/>
        <s v="Yoga Mat"/>
        <s v="Novel - Time's Arrow"/>
        <s v="Bluetooth Speaker"/>
        <s v="Dress Model D"/>
        <s v="Office Chair"/>
        <s v="Tablet Model E"/>
        <s v="Camping Tent"/>
        <s v="History of Art"/>
        <s v="Smartphone Model F"/>
        <s v="Jacket Model G"/>
        <s v="Blender"/>
        <s v="Headphones"/>
        <s v="Dumbbells"/>
        <s v="Fantasy Novel - Dragon's Quest"/>
        <s v="Desktop Model H"/>
        <s v="Skirt Model I"/>
        <s v="Dining Table"/>
        <s v="Smartphone Model J"/>
        <s v="Fishing Rod"/>
        <s v="Science for Kids"/>
        <m/>
      </sharedItems>
    </cacheField>
    <cacheField name="Quantity Sold" numFmtId="0">
      <sharedItems containsString="0" containsBlank="1" containsNumber="1" containsInteger="1" minValue="5" maxValue="40"/>
    </cacheField>
    <cacheField name="Sales Amount" numFmtId="0">
      <sharedItems containsString="0" containsBlank="1" containsNumber="1" containsInteger="1" minValue="800" maxValue="30000"/>
    </cacheField>
  </cacheFields>
  <extLst>
    <ext xmlns:x14="http://schemas.microsoft.com/office/spreadsheetml/2009/9/main" uri="{725AE2AE-9491-48be-B2B4-4EB974FC3084}">
      <x14:pivotCacheDefinition pivotCacheId="136367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n v="20"/>
    <n v="20000"/>
  </r>
  <r>
    <x v="1"/>
    <x v="0"/>
    <x v="1"/>
    <x v="1"/>
    <x v="1"/>
    <x v="1"/>
    <n v="30"/>
    <n v="1500"/>
  </r>
  <r>
    <x v="2"/>
    <x v="0"/>
    <x v="2"/>
    <x v="2"/>
    <x v="2"/>
    <x v="2"/>
    <n v="15"/>
    <n v="4500"/>
  </r>
  <r>
    <x v="3"/>
    <x v="0"/>
    <x v="3"/>
    <x v="0"/>
    <x v="3"/>
    <x v="3"/>
    <n v="25"/>
    <n v="12500"/>
  </r>
  <r>
    <x v="4"/>
    <x v="0"/>
    <x v="4"/>
    <x v="3"/>
    <x v="4"/>
    <x v="4"/>
    <n v="20"/>
    <n v="2000"/>
  </r>
  <r>
    <x v="5"/>
    <x v="0"/>
    <x v="5"/>
    <x v="4"/>
    <x v="5"/>
    <x v="5"/>
    <n v="40"/>
    <n v="800"/>
  </r>
  <r>
    <x v="6"/>
    <x v="0"/>
    <x v="6"/>
    <x v="0"/>
    <x v="6"/>
    <x v="6"/>
    <n v="30"/>
    <n v="6000"/>
  </r>
  <r>
    <x v="7"/>
    <x v="0"/>
    <x v="7"/>
    <x v="1"/>
    <x v="7"/>
    <x v="7"/>
    <n v="25"/>
    <n v="5000"/>
  </r>
  <r>
    <x v="8"/>
    <x v="0"/>
    <x v="8"/>
    <x v="2"/>
    <x v="8"/>
    <x v="8"/>
    <n v="10"/>
    <n v="7000"/>
  </r>
  <r>
    <x v="9"/>
    <x v="0"/>
    <x v="9"/>
    <x v="0"/>
    <x v="0"/>
    <x v="9"/>
    <n v="15"/>
    <n v="7500"/>
  </r>
  <r>
    <x v="10"/>
    <x v="0"/>
    <x v="10"/>
    <x v="3"/>
    <x v="9"/>
    <x v="10"/>
    <n v="20"/>
    <n v="4000"/>
  </r>
  <r>
    <x v="11"/>
    <x v="0"/>
    <x v="11"/>
    <x v="4"/>
    <x v="10"/>
    <x v="11"/>
    <n v="30"/>
    <n v="4500"/>
  </r>
  <r>
    <x v="12"/>
    <x v="1"/>
    <x v="0"/>
    <x v="0"/>
    <x v="3"/>
    <x v="12"/>
    <n v="20"/>
    <n v="20000"/>
  </r>
  <r>
    <x v="13"/>
    <x v="1"/>
    <x v="1"/>
    <x v="1"/>
    <x v="1"/>
    <x v="13"/>
    <n v="15"/>
    <n v="7500"/>
  </r>
  <r>
    <x v="14"/>
    <x v="1"/>
    <x v="2"/>
    <x v="2"/>
    <x v="2"/>
    <x v="14"/>
    <n v="20"/>
    <n v="4000"/>
  </r>
  <r>
    <x v="15"/>
    <x v="1"/>
    <x v="3"/>
    <x v="0"/>
    <x v="6"/>
    <x v="15"/>
    <n v="25"/>
    <n v="5000"/>
  </r>
  <r>
    <x v="16"/>
    <x v="1"/>
    <x v="4"/>
    <x v="3"/>
    <x v="4"/>
    <x v="16"/>
    <n v="30"/>
    <n v="3000"/>
  </r>
  <r>
    <x v="17"/>
    <x v="1"/>
    <x v="5"/>
    <x v="4"/>
    <x v="5"/>
    <x v="17"/>
    <n v="35"/>
    <n v="1050"/>
  </r>
  <r>
    <x v="18"/>
    <x v="1"/>
    <x v="6"/>
    <x v="0"/>
    <x v="0"/>
    <x v="18"/>
    <n v="15"/>
    <n v="15000"/>
  </r>
  <r>
    <x v="19"/>
    <x v="1"/>
    <x v="7"/>
    <x v="1"/>
    <x v="7"/>
    <x v="19"/>
    <n v="20"/>
    <n v="4000"/>
  </r>
  <r>
    <x v="20"/>
    <x v="1"/>
    <x v="8"/>
    <x v="2"/>
    <x v="8"/>
    <x v="20"/>
    <n v="5"/>
    <n v="10000"/>
  </r>
  <r>
    <x v="21"/>
    <x v="1"/>
    <x v="9"/>
    <x v="0"/>
    <x v="3"/>
    <x v="21"/>
    <n v="30"/>
    <n v="30000"/>
  </r>
  <r>
    <x v="22"/>
    <x v="1"/>
    <x v="10"/>
    <x v="3"/>
    <x v="9"/>
    <x v="22"/>
    <n v="25"/>
    <n v="2500"/>
  </r>
  <r>
    <x v="23"/>
    <x v="1"/>
    <x v="11"/>
    <x v="4"/>
    <x v="10"/>
    <x v="23"/>
    <n v="40"/>
    <n v="2400"/>
  </r>
  <r>
    <x v="24"/>
    <x v="2"/>
    <x v="12"/>
    <x v="5"/>
    <x v="11"/>
    <x v="2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EB663-1EFF-456E-92AE-AA3DE3EB23C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7" firstHeaderRow="1" firstDataRow="1" firstDataCol="1"/>
  <pivotFields count="8">
    <pivotField showAll="0"/>
    <pivotField showAll="0"/>
    <pivotField showAll="0"/>
    <pivotField axis="axisRow" showAll="0">
      <items count="7">
        <item x="4"/>
        <item x="1"/>
        <item x="0"/>
        <item x="2"/>
        <item x="3"/>
        <item x="5"/>
        <item t="default"/>
      </items>
    </pivotField>
    <pivotField axis="axisRow" showAll="0">
      <items count="13">
        <item x="6"/>
        <item x="0"/>
        <item x="5"/>
        <item x="4"/>
        <item x="8"/>
        <item x="2"/>
        <item x="1"/>
        <item x="3"/>
        <item x="10"/>
        <item x="9"/>
        <item x="7"/>
        <item x="11"/>
        <item t="default"/>
      </items>
    </pivotField>
    <pivotField axis="axisRow" showAll="0">
      <items count="26">
        <item x="14"/>
        <item x="6"/>
        <item x="10"/>
        <item x="2"/>
        <item x="18"/>
        <item x="20"/>
        <item x="7"/>
        <item x="16"/>
        <item x="17"/>
        <item x="22"/>
        <item x="15"/>
        <item x="11"/>
        <item x="13"/>
        <item x="0"/>
        <item x="5"/>
        <item x="8"/>
        <item x="23"/>
        <item x="19"/>
        <item x="3"/>
        <item x="12"/>
        <item x="21"/>
        <item x="9"/>
        <item x="1"/>
        <item x="4"/>
        <item x="24"/>
        <item t="default"/>
      </items>
    </pivotField>
    <pivotField showAll="0"/>
    <pivotField dataField="1" showAll="0"/>
  </pivotFields>
  <rowFields count="3">
    <field x="3"/>
    <field x="4"/>
    <field x="5"/>
  </rowFields>
  <rowItems count="44">
    <i>
      <x/>
    </i>
    <i r="1">
      <x v="2"/>
    </i>
    <i r="2">
      <x v="8"/>
    </i>
    <i r="2">
      <x v="14"/>
    </i>
    <i r="1">
      <x v="8"/>
    </i>
    <i r="2">
      <x v="11"/>
    </i>
    <i r="2">
      <x v="16"/>
    </i>
    <i>
      <x v="1"/>
    </i>
    <i r="1">
      <x v="6"/>
    </i>
    <i r="2">
      <x v="12"/>
    </i>
    <i r="2">
      <x v="22"/>
    </i>
    <i r="1">
      <x v="10"/>
    </i>
    <i r="2">
      <x v="6"/>
    </i>
    <i r="2">
      <x v="17"/>
    </i>
    <i>
      <x v="2"/>
    </i>
    <i r="1">
      <x/>
    </i>
    <i r="2">
      <x v="1"/>
    </i>
    <i r="2">
      <x v="10"/>
    </i>
    <i r="1">
      <x v="1"/>
    </i>
    <i r="2">
      <x v="4"/>
    </i>
    <i r="2">
      <x v="13"/>
    </i>
    <i r="2">
      <x v="21"/>
    </i>
    <i r="1">
      <x v="7"/>
    </i>
    <i r="2">
      <x v="18"/>
    </i>
    <i r="2">
      <x v="19"/>
    </i>
    <i r="2">
      <x v="20"/>
    </i>
    <i>
      <x v="3"/>
    </i>
    <i r="1">
      <x v="4"/>
    </i>
    <i r="2">
      <x v="5"/>
    </i>
    <i r="2">
      <x v="15"/>
    </i>
    <i r="1">
      <x v="5"/>
    </i>
    <i r="2">
      <x/>
    </i>
    <i r="2">
      <x v="3"/>
    </i>
    <i>
      <x v="4"/>
    </i>
    <i r="1">
      <x v="3"/>
    </i>
    <i r="2">
      <x v="7"/>
    </i>
    <i r="2">
      <x v="23"/>
    </i>
    <i r="1">
      <x v="9"/>
    </i>
    <i r="2">
      <x v="2"/>
    </i>
    <i r="2">
      <x v="9"/>
    </i>
    <i>
      <x v="5"/>
    </i>
    <i r="1">
      <x v="11"/>
    </i>
    <i r="2">
      <x v="24"/>
    </i>
    <i t="grand">
      <x/>
    </i>
  </rowItems>
  <colItems count="1">
    <i/>
  </colItems>
  <dataFields count="1">
    <dataField name="Sum of Sales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AC214-E93C-49DF-B94E-3F29150F043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9" firstHeaderRow="1" firstDataRow="1" firstDataCol="1"/>
  <pivotFields count="8">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4">
        <item h="1" x="0"/>
        <item x="1"/>
        <item h="1" x="2"/>
        <item t="default"/>
      </items>
    </pivotField>
    <pivotField axis="axisRow" showAll="0">
      <items count="14">
        <item x="0"/>
        <item x="1"/>
        <item x="2"/>
        <item x="3"/>
        <item x="4"/>
        <item x="5"/>
        <item x="6"/>
        <item x="7"/>
        <item x="8"/>
        <item x="9"/>
        <item x="10"/>
        <item x="11"/>
        <item x="12"/>
        <item t="default"/>
      </items>
    </pivotField>
    <pivotField axis="axisRow" showAll="0">
      <items count="7">
        <item x="4"/>
        <item x="1"/>
        <item x="0"/>
        <item x="2"/>
        <item x="3"/>
        <item h="1" x="5"/>
        <item t="default"/>
      </items>
    </pivotField>
    <pivotField showAll="0">
      <items count="13">
        <item x="6"/>
        <item x="0"/>
        <item x="5"/>
        <item x="4"/>
        <item x="8"/>
        <item x="2"/>
        <item x="1"/>
        <item x="3"/>
        <item x="10"/>
        <item x="9"/>
        <item x="7"/>
        <item x="11"/>
        <item t="default"/>
      </items>
    </pivotField>
    <pivotField showAll="0"/>
    <pivotField showAll="0"/>
    <pivotField dataField="1" showAll="0"/>
  </pivotFields>
  <rowFields count="3">
    <field x="1"/>
    <field x="2"/>
    <field x="3"/>
  </rowFields>
  <rowItems count="26">
    <i>
      <x v="1"/>
    </i>
    <i r="1">
      <x/>
    </i>
    <i r="2">
      <x v="2"/>
    </i>
    <i r="1">
      <x v="1"/>
    </i>
    <i r="2">
      <x v="1"/>
    </i>
    <i r="1">
      <x v="2"/>
    </i>
    <i r="2">
      <x v="3"/>
    </i>
    <i r="1">
      <x v="3"/>
    </i>
    <i r="2">
      <x v="2"/>
    </i>
    <i r="1">
      <x v="4"/>
    </i>
    <i r="2">
      <x v="4"/>
    </i>
    <i r="1">
      <x v="5"/>
    </i>
    <i r="2">
      <x/>
    </i>
    <i r="1">
      <x v="6"/>
    </i>
    <i r="2">
      <x v="2"/>
    </i>
    <i r="1">
      <x v="7"/>
    </i>
    <i r="2">
      <x v="1"/>
    </i>
    <i r="1">
      <x v="8"/>
    </i>
    <i r="2">
      <x v="3"/>
    </i>
    <i r="1">
      <x v="9"/>
    </i>
    <i r="2">
      <x v="2"/>
    </i>
    <i r="1">
      <x v="10"/>
    </i>
    <i r="2">
      <x v="4"/>
    </i>
    <i r="1">
      <x v="11"/>
    </i>
    <i r="2">
      <x/>
    </i>
    <i t="grand">
      <x/>
    </i>
  </rowItems>
  <colItems count="1">
    <i/>
  </colItems>
  <dataFields count="1">
    <dataField name="Sum of Sales Amount" fld="7" baseField="0" baseItem="0" numFmtId="164"/>
  </dataFields>
  <formats count="2">
    <format dxfId="18">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9F35F1-AA7C-429B-A674-D4E59D326648}" autoFormatId="16" applyNumberFormats="0" applyBorderFormats="0" applyFontFormats="0" applyPatternFormats="0" applyAlignmentFormats="0" applyWidthHeightFormats="0">
  <queryTableRefresh nextId="9">
    <queryTableFields count="8">
      <queryTableField id="1" name="Transaction Date" tableColumnId="1"/>
      <queryTableField id="8" dataBound="0" tableColumnId="8"/>
      <queryTableField id="7" dataBound="0" tableColumnId="7"/>
      <queryTableField id="2" name="Product Category" tableColumnId="2"/>
      <queryTableField id="3" name="Product Subcategory" tableColumnId="3"/>
      <queryTableField id="4" name="Product Name" tableColumnId="4"/>
      <queryTableField id="5" name="Quantity Sold" tableColumnId="5"/>
      <queryTableField id="6" name="Sales Amou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E888B5-D40E-4ED1-93B6-34991E8D11DB}" sourceName="Year">
  <pivotTables>
    <pivotTable tabId="4" name="PivotTable2"/>
  </pivotTables>
  <data>
    <tabular pivotCacheId="1363676779">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3CAA5E-5238-4799-A864-9564E89B3C22}"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FB2CEA-956B-4B40-A1F4-7ED2FBBBBDD7}" name="sales_transactions_data_PM0305" displayName="sales_transactions_data_PM0305" ref="A1:H25" tableType="queryTable" totalsRowShown="0">
  <autoFilter ref="A1:H25" xr:uid="{19FB2CEA-956B-4B40-A1F4-7ED2FBBBBDD7}"/>
  <tableColumns count="8">
    <tableColumn id="1" xr3:uid="{18EBE88B-E890-4DAA-971A-0002CA9C4B09}" uniqueName="1" name="Transaction Date" queryTableFieldId="1" dataDxfId="61"/>
    <tableColumn id="8" xr3:uid="{EB53467A-9F62-4038-9411-C14E1A32A48A}" uniqueName="8" name="Year" queryTableFieldId="8" dataDxfId="60">
      <calculatedColumnFormula>YEAR(sales_transactions_data_PM0305[[#This Row],[Transaction Date]])</calculatedColumnFormula>
    </tableColumn>
    <tableColumn id="7" xr3:uid="{20DBB128-0798-4981-A957-94717D38C966}" uniqueName="7" name="Month" queryTableFieldId="7" dataDxfId="59">
      <calculatedColumnFormula>TEXT(sales_transactions_data_PM0305[[#This Row],[Transaction Date]], "MMMM")</calculatedColumnFormula>
    </tableColumn>
    <tableColumn id="2" xr3:uid="{49BE0B7A-2D41-4979-97FD-220A25AD4877}" uniqueName="2" name="Product Category" queryTableFieldId="2" dataDxfId="58"/>
    <tableColumn id="3" xr3:uid="{58442FB5-72EE-4FCC-B14F-DAE1861BFBB5}" uniqueName="3" name="Product Subcategory" queryTableFieldId="3" dataDxfId="57"/>
    <tableColumn id="4" xr3:uid="{320AF50B-6F64-4B40-B5AD-360BC56F11F0}" uniqueName="4" name="Product Name" queryTableFieldId="4" dataDxfId="56"/>
    <tableColumn id="5" xr3:uid="{8DA7239F-B81F-4439-8952-6B60CF980733}" uniqueName="5" name="Quantity Sold" queryTableFieldId="5"/>
    <tableColumn id="6" xr3:uid="{CE4D841A-C90C-443D-95B3-CE49E6DF429B}" uniqueName="6" name="Sales Amoun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76D6-3E58-4F30-88C3-03BC5109B949}">
  <dimension ref="A3:B47"/>
  <sheetViews>
    <sheetView workbookViewId="0">
      <selection activeCell="B13" sqref="B13"/>
    </sheetView>
  </sheetViews>
  <sheetFormatPr defaultRowHeight="14.4" x14ac:dyDescent="0.3"/>
  <cols>
    <col min="1" max="1" width="34.6640625" bestFit="1" customWidth="1"/>
    <col min="2" max="2" width="19.44140625" bestFit="1" customWidth="1"/>
  </cols>
  <sheetData>
    <row r="3" spans="1:2" x14ac:dyDescent="0.3">
      <c r="A3" s="2" t="s">
        <v>46</v>
      </c>
      <c r="B3" t="s">
        <v>49</v>
      </c>
    </row>
    <row r="4" spans="1:2" x14ac:dyDescent="0.3">
      <c r="A4" s="3" t="s">
        <v>20</v>
      </c>
      <c r="B4">
        <v>8750</v>
      </c>
    </row>
    <row r="5" spans="1:2" x14ac:dyDescent="0.3">
      <c r="A5" s="4" t="s">
        <v>21</v>
      </c>
      <c r="B5">
        <v>1850</v>
      </c>
    </row>
    <row r="6" spans="1:2" x14ac:dyDescent="0.3">
      <c r="A6" s="5" t="s">
        <v>39</v>
      </c>
      <c r="B6">
        <v>1050</v>
      </c>
    </row>
    <row r="7" spans="1:2" x14ac:dyDescent="0.3">
      <c r="A7" s="5" t="s">
        <v>22</v>
      </c>
      <c r="B7">
        <v>800</v>
      </c>
    </row>
    <row r="8" spans="1:2" x14ac:dyDescent="0.3">
      <c r="A8" s="4" t="s">
        <v>32</v>
      </c>
      <c r="B8">
        <v>6900</v>
      </c>
    </row>
    <row r="9" spans="1:2" x14ac:dyDescent="0.3">
      <c r="A9" s="5" t="s">
        <v>33</v>
      </c>
      <c r="B9">
        <v>4500</v>
      </c>
    </row>
    <row r="10" spans="1:2" x14ac:dyDescent="0.3">
      <c r="A10" s="5" t="s">
        <v>45</v>
      </c>
      <c r="B10">
        <v>2400</v>
      </c>
    </row>
    <row r="11" spans="1:2" x14ac:dyDescent="0.3">
      <c r="A11" s="3" t="s">
        <v>9</v>
      </c>
      <c r="B11">
        <v>18000</v>
      </c>
    </row>
    <row r="12" spans="1:2" x14ac:dyDescent="0.3">
      <c r="A12" s="4" t="s">
        <v>10</v>
      </c>
      <c r="B12">
        <v>9000</v>
      </c>
    </row>
    <row r="13" spans="1:2" x14ac:dyDescent="0.3">
      <c r="A13" s="5" t="s">
        <v>35</v>
      </c>
      <c r="B13">
        <v>7500</v>
      </c>
    </row>
    <row r="14" spans="1:2" x14ac:dyDescent="0.3">
      <c r="A14" s="5" t="s">
        <v>11</v>
      </c>
      <c r="B14">
        <v>1500</v>
      </c>
    </row>
    <row r="15" spans="1:2" x14ac:dyDescent="0.3">
      <c r="A15" s="4" t="s">
        <v>25</v>
      </c>
      <c r="B15">
        <v>9000</v>
      </c>
    </row>
    <row r="16" spans="1:2" x14ac:dyDescent="0.3">
      <c r="A16" s="5" t="s">
        <v>26</v>
      </c>
      <c r="B16">
        <v>5000</v>
      </c>
    </row>
    <row r="17" spans="1:2" x14ac:dyDescent="0.3">
      <c r="A17" s="5" t="s">
        <v>41</v>
      </c>
      <c r="B17">
        <v>4000</v>
      </c>
    </row>
    <row r="18" spans="1:2" x14ac:dyDescent="0.3">
      <c r="A18" s="3" t="s">
        <v>6</v>
      </c>
      <c r="B18">
        <v>116000</v>
      </c>
    </row>
    <row r="19" spans="1:2" x14ac:dyDescent="0.3">
      <c r="A19" s="4" t="s">
        <v>23</v>
      </c>
      <c r="B19">
        <v>11000</v>
      </c>
    </row>
    <row r="20" spans="1:2" x14ac:dyDescent="0.3">
      <c r="A20" s="5" t="s">
        <v>24</v>
      </c>
      <c r="B20">
        <v>6000</v>
      </c>
    </row>
    <row r="21" spans="1:2" x14ac:dyDescent="0.3">
      <c r="A21" s="5" t="s">
        <v>37</v>
      </c>
      <c r="B21">
        <v>5000</v>
      </c>
    </row>
    <row r="22" spans="1:2" x14ac:dyDescent="0.3">
      <c r="A22" s="4" t="s">
        <v>7</v>
      </c>
      <c r="B22">
        <v>42500</v>
      </c>
    </row>
    <row r="23" spans="1:2" x14ac:dyDescent="0.3">
      <c r="A23" s="5" t="s">
        <v>40</v>
      </c>
      <c r="B23">
        <v>15000</v>
      </c>
    </row>
    <row r="24" spans="1:2" x14ac:dyDescent="0.3">
      <c r="A24" s="5" t="s">
        <v>8</v>
      </c>
      <c r="B24">
        <v>20000</v>
      </c>
    </row>
    <row r="25" spans="1:2" x14ac:dyDescent="0.3">
      <c r="A25" s="5" t="s">
        <v>29</v>
      </c>
      <c r="B25">
        <v>7500</v>
      </c>
    </row>
    <row r="26" spans="1:2" x14ac:dyDescent="0.3">
      <c r="A26" s="4" t="s">
        <v>15</v>
      </c>
      <c r="B26">
        <v>62500</v>
      </c>
    </row>
    <row r="27" spans="1:2" x14ac:dyDescent="0.3">
      <c r="A27" s="5" t="s">
        <v>16</v>
      </c>
      <c r="B27">
        <v>12500</v>
      </c>
    </row>
    <row r="28" spans="1:2" x14ac:dyDescent="0.3">
      <c r="A28" s="5" t="s">
        <v>34</v>
      </c>
      <c r="B28">
        <v>20000</v>
      </c>
    </row>
    <row r="29" spans="1:2" x14ac:dyDescent="0.3">
      <c r="A29" s="5" t="s">
        <v>43</v>
      </c>
      <c r="B29">
        <v>30000</v>
      </c>
    </row>
    <row r="30" spans="1:2" x14ac:dyDescent="0.3">
      <c r="A30" s="3" t="s">
        <v>12</v>
      </c>
      <c r="B30">
        <v>25500</v>
      </c>
    </row>
    <row r="31" spans="1:2" x14ac:dyDescent="0.3">
      <c r="A31" s="4" t="s">
        <v>27</v>
      </c>
      <c r="B31">
        <v>17000</v>
      </c>
    </row>
    <row r="32" spans="1:2" x14ac:dyDescent="0.3">
      <c r="A32" s="5" t="s">
        <v>42</v>
      </c>
      <c r="B32">
        <v>10000</v>
      </c>
    </row>
    <row r="33" spans="1:2" x14ac:dyDescent="0.3">
      <c r="A33" s="5" t="s">
        <v>28</v>
      </c>
      <c r="B33">
        <v>7000</v>
      </c>
    </row>
    <row r="34" spans="1:2" x14ac:dyDescent="0.3">
      <c r="A34" s="4" t="s">
        <v>13</v>
      </c>
      <c r="B34">
        <v>8500</v>
      </c>
    </row>
    <row r="35" spans="1:2" x14ac:dyDescent="0.3">
      <c r="A35" s="5" t="s">
        <v>36</v>
      </c>
      <c r="B35">
        <v>4000</v>
      </c>
    </row>
    <row r="36" spans="1:2" x14ac:dyDescent="0.3">
      <c r="A36" s="5" t="s">
        <v>14</v>
      </c>
      <c r="B36">
        <v>4500</v>
      </c>
    </row>
    <row r="37" spans="1:2" x14ac:dyDescent="0.3">
      <c r="A37" s="3" t="s">
        <v>17</v>
      </c>
      <c r="B37">
        <v>11500</v>
      </c>
    </row>
    <row r="38" spans="1:2" x14ac:dyDescent="0.3">
      <c r="A38" s="4" t="s">
        <v>18</v>
      </c>
      <c r="B38">
        <v>5000</v>
      </c>
    </row>
    <row r="39" spans="1:2" x14ac:dyDescent="0.3">
      <c r="A39" s="5" t="s">
        <v>38</v>
      </c>
      <c r="B39">
        <v>3000</v>
      </c>
    </row>
    <row r="40" spans="1:2" x14ac:dyDescent="0.3">
      <c r="A40" s="5" t="s">
        <v>19</v>
      </c>
      <c r="B40">
        <v>2000</v>
      </c>
    </row>
    <row r="41" spans="1:2" x14ac:dyDescent="0.3">
      <c r="A41" s="4" t="s">
        <v>30</v>
      </c>
      <c r="B41">
        <v>6500</v>
      </c>
    </row>
    <row r="42" spans="1:2" x14ac:dyDescent="0.3">
      <c r="A42" s="5" t="s">
        <v>31</v>
      </c>
      <c r="B42">
        <v>4000</v>
      </c>
    </row>
    <row r="43" spans="1:2" x14ac:dyDescent="0.3">
      <c r="A43" s="5" t="s">
        <v>44</v>
      </c>
      <c r="B43">
        <v>2500</v>
      </c>
    </row>
    <row r="44" spans="1:2" x14ac:dyDescent="0.3">
      <c r="A44" s="3" t="s">
        <v>47</v>
      </c>
    </row>
    <row r="45" spans="1:2" x14ac:dyDescent="0.3">
      <c r="A45" s="4" t="s">
        <v>47</v>
      </c>
    </row>
    <row r="46" spans="1:2" x14ac:dyDescent="0.3">
      <c r="A46" s="5" t="s">
        <v>47</v>
      </c>
    </row>
    <row r="47" spans="1:2" x14ac:dyDescent="0.3">
      <c r="A47" s="3" t="s">
        <v>48</v>
      </c>
      <c r="B47">
        <v>179750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840D-7E5F-4ED0-AE15-7DF8B1C7BD07}">
  <dimension ref="A3:C29"/>
  <sheetViews>
    <sheetView tabSelected="1" workbookViewId="0">
      <selection activeCell="A3" sqref="A3"/>
    </sheetView>
  </sheetViews>
  <sheetFormatPr defaultRowHeight="14.4" x14ac:dyDescent="0.3"/>
  <cols>
    <col min="1" max="1" width="21.5546875" bestFit="1" customWidth="1"/>
    <col min="2" max="2" width="19.44140625" bestFit="1" customWidth="1"/>
    <col min="3" max="3" width="11" style="6" bestFit="1" customWidth="1"/>
  </cols>
  <sheetData>
    <row r="3" spans="1:3" x14ac:dyDescent="0.3">
      <c r="A3" s="2" t="s">
        <v>46</v>
      </c>
      <c r="B3" t="s">
        <v>49</v>
      </c>
      <c r="C3"/>
    </row>
    <row r="4" spans="1:3" x14ac:dyDescent="0.3">
      <c r="A4" s="3">
        <v>2023</v>
      </c>
      <c r="B4" s="6">
        <v>104450</v>
      </c>
      <c r="C4"/>
    </row>
    <row r="5" spans="1:3" x14ac:dyDescent="0.3">
      <c r="A5" s="4" t="s">
        <v>53</v>
      </c>
      <c r="B5" s="6">
        <v>20000</v>
      </c>
      <c r="C5"/>
    </row>
    <row r="6" spans="1:3" x14ac:dyDescent="0.3">
      <c r="A6" s="5" t="s">
        <v>6</v>
      </c>
      <c r="B6" s="6">
        <v>20000</v>
      </c>
      <c r="C6"/>
    </row>
    <row r="7" spans="1:3" x14ac:dyDescent="0.3">
      <c r="A7" s="4" t="s">
        <v>59</v>
      </c>
      <c r="B7" s="6">
        <v>7500</v>
      </c>
      <c r="C7"/>
    </row>
    <row r="8" spans="1:3" x14ac:dyDescent="0.3">
      <c r="A8" s="5" t="s">
        <v>9</v>
      </c>
      <c r="B8" s="6">
        <v>7500</v>
      </c>
      <c r="C8"/>
    </row>
    <row r="9" spans="1:3" x14ac:dyDescent="0.3">
      <c r="A9" s="4" t="s">
        <v>58</v>
      </c>
      <c r="B9" s="6">
        <v>4000</v>
      </c>
      <c r="C9"/>
    </row>
    <row r="10" spans="1:3" x14ac:dyDescent="0.3">
      <c r="A10" s="5" t="s">
        <v>12</v>
      </c>
      <c r="B10" s="6">
        <v>4000</v>
      </c>
      <c r="C10"/>
    </row>
    <row r="11" spans="1:3" x14ac:dyDescent="0.3">
      <c r="A11" s="4" t="s">
        <v>60</v>
      </c>
      <c r="B11" s="6">
        <v>5000</v>
      </c>
    </row>
    <row r="12" spans="1:3" x14ac:dyDescent="0.3">
      <c r="A12" s="5" t="s">
        <v>6</v>
      </c>
      <c r="B12" s="6">
        <v>5000</v>
      </c>
    </row>
    <row r="13" spans="1:3" x14ac:dyDescent="0.3">
      <c r="A13" s="4" t="s">
        <v>56</v>
      </c>
      <c r="B13" s="6">
        <v>3000</v>
      </c>
    </row>
    <row r="14" spans="1:3" x14ac:dyDescent="0.3">
      <c r="A14" s="5" t="s">
        <v>17</v>
      </c>
      <c r="B14" s="6">
        <v>3000</v>
      </c>
    </row>
    <row r="15" spans="1:3" x14ac:dyDescent="0.3">
      <c r="A15" s="4" t="s">
        <v>55</v>
      </c>
      <c r="B15" s="6">
        <v>1050</v>
      </c>
    </row>
    <row r="16" spans="1:3" x14ac:dyDescent="0.3">
      <c r="A16" s="5" t="s">
        <v>20</v>
      </c>
      <c r="B16" s="6">
        <v>1050</v>
      </c>
    </row>
    <row r="17" spans="1:2" x14ac:dyDescent="0.3">
      <c r="A17" s="4" t="s">
        <v>52</v>
      </c>
      <c r="B17" s="6">
        <v>15000</v>
      </c>
    </row>
    <row r="18" spans="1:2" x14ac:dyDescent="0.3">
      <c r="A18" s="5" t="s">
        <v>6</v>
      </c>
      <c r="B18" s="6">
        <v>15000</v>
      </c>
    </row>
    <row r="19" spans="1:2" x14ac:dyDescent="0.3">
      <c r="A19" s="4" t="s">
        <v>63</v>
      </c>
      <c r="B19" s="6">
        <v>4000</v>
      </c>
    </row>
    <row r="20" spans="1:2" x14ac:dyDescent="0.3">
      <c r="A20" s="5" t="s">
        <v>9</v>
      </c>
      <c r="B20" s="6">
        <v>4000</v>
      </c>
    </row>
    <row r="21" spans="1:2" x14ac:dyDescent="0.3">
      <c r="A21" s="4" t="s">
        <v>57</v>
      </c>
      <c r="B21" s="6">
        <v>10000</v>
      </c>
    </row>
    <row r="22" spans="1:2" x14ac:dyDescent="0.3">
      <c r="A22" s="5" t="s">
        <v>12</v>
      </c>
      <c r="B22" s="6">
        <v>10000</v>
      </c>
    </row>
    <row r="23" spans="1:2" x14ac:dyDescent="0.3">
      <c r="A23" s="4" t="s">
        <v>54</v>
      </c>
      <c r="B23" s="6">
        <v>30000</v>
      </c>
    </row>
    <row r="24" spans="1:2" x14ac:dyDescent="0.3">
      <c r="A24" s="5" t="s">
        <v>6</v>
      </c>
      <c r="B24" s="6">
        <v>30000</v>
      </c>
    </row>
    <row r="25" spans="1:2" x14ac:dyDescent="0.3">
      <c r="A25" s="4" t="s">
        <v>62</v>
      </c>
      <c r="B25" s="6">
        <v>2500</v>
      </c>
    </row>
    <row r="26" spans="1:2" x14ac:dyDescent="0.3">
      <c r="A26" s="5" t="s">
        <v>17</v>
      </c>
      <c r="B26" s="6">
        <v>2500</v>
      </c>
    </row>
    <row r="27" spans="1:2" x14ac:dyDescent="0.3">
      <c r="A27" s="4" t="s">
        <v>61</v>
      </c>
      <c r="B27" s="6">
        <v>2400</v>
      </c>
    </row>
    <row r="28" spans="1:2" x14ac:dyDescent="0.3">
      <c r="A28" s="5" t="s">
        <v>20</v>
      </c>
      <c r="B28" s="6">
        <v>2400</v>
      </c>
    </row>
    <row r="29" spans="1:2" x14ac:dyDescent="0.3">
      <c r="A29" s="3" t="s">
        <v>48</v>
      </c>
      <c r="B29" s="6">
        <v>104450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A89F-50A9-4CB9-A442-4BC64452072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CAD02-9F57-43E9-984A-5A130F466F70}">
  <dimension ref="A1:H25"/>
  <sheetViews>
    <sheetView workbookViewId="0">
      <selection activeCell="B2" sqref="B2"/>
    </sheetView>
  </sheetViews>
  <sheetFormatPr defaultRowHeight="14.4" x14ac:dyDescent="0.3"/>
  <cols>
    <col min="1" max="1" width="17.6640625" bestFit="1" customWidth="1"/>
    <col min="2" max="2" width="7.109375" bestFit="1" customWidth="1"/>
    <col min="3" max="3" width="10.5546875" bestFit="1" customWidth="1"/>
    <col min="4" max="4" width="18" bestFit="1" customWidth="1"/>
    <col min="5" max="5" width="21.109375" bestFit="1" customWidth="1"/>
    <col min="6" max="6" width="28" bestFit="1" customWidth="1"/>
    <col min="7" max="7" width="15" bestFit="1" customWidth="1"/>
    <col min="8" max="8" width="15.109375" bestFit="1" customWidth="1"/>
  </cols>
  <sheetData>
    <row r="1" spans="1:8" x14ac:dyDescent="0.3">
      <c r="A1" t="s">
        <v>0</v>
      </c>
      <c r="B1" t="s">
        <v>50</v>
      </c>
      <c r="C1" t="s">
        <v>51</v>
      </c>
      <c r="D1" t="s">
        <v>1</v>
      </c>
      <c r="E1" t="s">
        <v>2</v>
      </c>
      <c r="F1" t="s">
        <v>3</v>
      </c>
      <c r="G1" t="s">
        <v>4</v>
      </c>
      <c r="H1" t="s">
        <v>5</v>
      </c>
    </row>
    <row r="2" spans="1:8" x14ac:dyDescent="0.3">
      <c r="A2" s="1">
        <v>44566</v>
      </c>
      <c r="B2">
        <f>YEAR(sales_transactions_data_PM0305[[#This Row],[Transaction Date]])</f>
        <v>2022</v>
      </c>
      <c r="C2" s="1" t="str">
        <f>TEXT(sales_transactions_data_PM0305[[#This Row],[Transaction Date]], "MMMM")</f>
        <v>January</v>
      </c>
      <c r="D2" t="s">
        <v>6</v>
      </c>
      <c r="E2" t="s">
        <v>7</v>
      </c>
      <c r="F2" t="s">
        <v>8</v>
      </c>
      <c r="G2">
        <v>20</v>
      </c>
      <c r="H2">
        <v>20000</v>
      </c>
    </row>
    <row r="3" spans="1:8" x14ac:dyDescent="0.3">
      <c r="A3" s="1">
        <v>44602</v>
      </c>
      <c r="B3">
        <f>YEAR(sales_transactions_data_PM0305[[#This Row],[Transaction Date]])</f>
        <v>2022</v>
      </c>
      <c r="C3" s="1" t="str">
        <f>TEXT(sales_transactions_data_PM0305[[#This Row],[Transaction Date]], "MMMM")</f>
        <v>February</v>
      </c>
      <c r="D3" t="s">
        <v>9</v>
      </c>
      <c r="E3" t="s">
        <v>10</v>
      </c>
      <c r="F3" t="s">
        <v>11</v>
      </c>
      <c r="G3">
        <v>30</v>
      </c>
      <c r="H3">
        <v>1500</v>
      </c>
    </row>
    <row r="4" spans="1:8" x14ac:dyDescent="0.3">
      <c r="A4" s="1">
        <v>44635</v>
      </c>
      <c r="B4">
        <f>YEAR(sales_transactions_data_PM0305[[#This Row],[Transaction Date]])</f>
        <v>2022</v>
      </c>
      <c r="C4" s="1" t="str">
        <f>TEXT(sales_transactions_data_PM0305[[#This Row],[Transaction Date]], "MMMM")</f>
        <v>March</v>
      </c>
      <c r="D4" t="s">
        <v>12</v>
      </c>
      <c r="E4" t="s">
        <v>13</v>
      </c>
      <c r="F4" t="s">
        <v>14</v>
      </c>
      <c r="G4">
        <v>15</v>
      </c>
      <c r="H4">
        <v>4500</v>
      </c>
    </row>
    <row r="5" spans="1:8" x14ac:dyDescent="0.3">
      <c r="A5" s="1">
        <v>44671</v>
      </c>
      <c r="B5">
        <f>YEAR(sales_transactions_data_PM0305[[#This Row],[Transaction Date]])</f>
        <v>2022</v>
      </c>
      <c r="C5" s="1" t="str">
        <f>TEXT(sales_transactions_data_PM0305[[#This Row],[Transaction Date]], "MMMM")</f>
        <v>April</v>
      </c>
      <c r="D5" t="s">
        <v>6</v>
      </c>
      <c r="E5" t="s">
        <v>15</v>
      </c>
      <c r="F5" t="s">
        <v>16</v>
      </c>
      <c r="G5">
        <v>25</v>
      </c>
      <c r="H5">
        <v>12500</v>
      </c>
    </row>
    <row r="6" spans="1:8" x14ac:dyDescent="0.3">
      <c r="A6" s="1">
        <v>44706</v>
      </c>
      <c r="B6">
        <f>YEAR(sales_transactions_data_PM0305[[#This Row],[Transaction Date]])</f>
        <v>2022</v>
      </c>
      <c r="C6" s="1" t="str">
        <f>TEXT(sales_transactions_data_PM0305[[#This Row],[Transaction Date]], "MMMM")</f>
        <v>May</v>
      </c>
      <c r="D6" t="s">
        <v>17</v>
      </c>
      <c r="E6" t="s">
        <v>18</v>
      </c>
      <c r="F6" t="s">
        <v>19</v>
      </c>
      <c r="G6">
        <v>20</v>
      </c>
      <c r="H6">
        <v>2000</v>
      </c>
    </row>
    <row r="7" spans="1:8" x14ac:dyDescent="0.3">
      <c r="A7" s="1">
        <v>44742</v>
      </c>
      <c r="B7">
        <f>YEAR(sales_transactions_data_PM0305[[#This Row],[Transaction Date]])</f>
        <v>2022</v>
      </c>
      <c r="C7" s="1" t="str">
        <f>TEXT(sales_transactions_data_PM0305[[#This Row],[Transaction Date]], "MMMM")</f>
        <v>June</v>
      </c>
      <c r="D7" t="s">
        <v>20</v>
      </c>
      <c r="E7" t="s">
        <v>21</v>
      </c>
      <c r="F7" t="s">
        <v>22</v>
      </c>
      <c r="G7">
        <v>40</v>
      </c>
      <c r="H7">
        <v>800</v>
      </c>
    </row>
    <row r="8" spans="1:8" x14ac:dyDescent="0.3">
      <c r="A8" s="1">
        <v>44747</v>
      </c>
      <c r="B8">
        <f>YEAR(sales_transactions_data_PM0305[[#This Row],[Transaction Date]])</f>
        <v>2022</v>
      </c>
      <c r="C8" s="1" t="str">
        <f>TEXT(sales_transactions_data_PM0305[[#This Row],[Transaction Date]], "MMMM")</f>
        <v>July</v>
      </c>
      <c r="D8" t="s">
        <v>6</v>
      </c>
      <c r="E8" t="s">
        <v>23</v>
      </c>
      <c r="F8" t="s">
        <v>24</v>
      </c>
      <c r="G8">
        <v>30</v>
      </c>
      <c r="H8">
        <v>6000</v>
      </c>
    </row>
    <row r="9" spans="1:8" x14ac:dyDescent="0.3">
      <c r="A9" s="1">
        <v>44783</v>
      </c>
      <c r="B9">
        <f>YEAR(sales_transactions_data_PM0305[[#This Row],[Transaction Date]])</f>
        <v>2022</v>
      </c>
      <c r="C9" s="1" t="str">
        <f>TEXT(sales_transactions_data_PM0305[[#This Row],[Transaction Date]], "MMMM")</f>
        <v>August</v>
      </c>
      <c r="D9" t="s">
        <v>9</v>
      </c>
      <c r="E9" t="s">
        <v>25</v>
      </c>
      <c r="F9" t="s">
        <v>26</v>
      </c>
      <c r="G9">
        <v>25</v>
      </c>
      <c r="H9">
        <v>5000</v>
      </c>
    </row>
    <row r="10" spans="1:8" x14ac:dyDescent="0.3">
      <c r="A10" s="1">
        <v>44819</v>
      </c>
      <c r="B10">
        <f>YEAR(sales_transactions_data_PM0305[[#This Row],[Transaction Date]])</f>
        <v>2022</v>
      </c>
      <c r="C10" s="1" t="str">
        <f>TEXT(sales_transactions_data_PM0305[[#This Row],[Transaction Date]], "MMMM")</f>
        <v>September</v>
      </c>
      <c r="D10" t="s">
        <v>12</v>
      </c>
      <c r="E10" t="s">
        <v>27</v>
      </c>
      <c r="F10" t="s">
        <v>28</v>
      </c>
      <c r="G10">
        <v>10</v>
      </c>
      <c r="H10">
        <v>7000</v>
      </c>
    </row>
    <row r="11" spans="1:8" x14ac:dyDescent="0.3">
      <c r="A11" s="1">
        <v>44854</v>
      </c>
      <c r="B11">
        <f>YEAR(sales_transactions_data_PM0305[[#This Row],[Transaction Date]])</f>
        <v>2022</v>
      </c>
      <c r="C11" s="1" t="str">
        <f>TEXT(sales_transactions_data_PM0305[[#This Row],[Transaction Date]], "MMMM")</f>
        <v>October</v>
      </c>
      <c r="D11" t="s">
        <v>6</v>
      </c>
      <c r="E11" t="s">
        <v>7</v>
      </c>
      <c r="F11" t="s">
        <v>29</v>
      </c>
      <c r="G11">
        <v>15</v>
      </c>
      <c r="H11">
        <v>7500</v>
      </c>
    </row>
    <row r="12" spans="1:8" x14ac:dyDescent="0.3">
      <c r="A12" s="1">
        <v>44890</v>
      </c>
      <c r="B12">
        <f>YEAR(sales_transactions_data_PM0305[[#This Row],[Transaction Date]])</f>
        <v>2022</v>
      </c>
      <c r="C12" s="1" t="str">
        <f>TEXT(sales_transactions_data_PM0305[[#This Row],[Transaction Date]], "MMMM")</f>
        <v>November</v>
      </c>
      <c r="D12" t="s">
        <v>17</v>
      </c>
      <c r="E12" t="s">
        <v>30</v>
      </c>
      <c r="F12" t="s">
        <v>31</v>
      </c>
      <c r="G12">
        <v>20</v>
      </c>
      <c r="H12">
        <v>4000</v>
      </c>
    </row>
    <row r="13" spans="1:8" x14ac:dyDescent="0.3">
      <c r="A13" s="1">
        <v>44925</v>
      </c>
      <c r="B13">
        <f>YEAR(sales_transactions_data_PM0305[[#This Row],[Transaction Date]])</f>
        <v>2022</v>
      </c>
      <c r="C13" s="1" t="str">
        <f>TEXT(sales_transactions_data_PM0305[[#This Row],[Transaction Date]], "MMMM")</f>
        <v>December</v>
      </c>
      <c r="D13" t="s">
        <v>20</v>
      </c>
      <c r="E13" t="s">
        <v>32</v>
      </c>
      <c r="F13" t="s">
        <v>33</v>
      </c>
      <c r="G13">
        <v>30</v>
      </c>
      <c r="H13">
        <v>4500</v>
      </c>
    </row>
    <row r="14" spans="1:8" x14ac:dyDescent="0.3">
      <c r="A14" s="1">
        <v>44931</v>
      </c>
      <c r="B14">
        <f>YEAR(sales_transactions_data_PM0305[[#This Row],[Transaction Date]])</f>
        <v>2023</v>
      </c>
      <c r="C14" s="1" t="str">
        <f>TEXT(sales_transactions_data_PM0305[[#This Row],[Transaction Date]], "MMMM")</f>
        <v>January</v>
      </c>
      <c r="D14" t="s">
        <v>6</v>
      </c>
      <c r="E14" t="s">
        <v>15</v>
      </c>
      <c r="F14" t="s">
        <v>34</v>
      </c>
      <c r="G14">
        <v>20</v>
      </c>
      <c r="H14">
        <v>20000</v>
      </c>
    </row>
    <row r="15" spans="1:8" x14ac:dyDescent="0.3">
      <c r="A15" s="1">
        <v>44967</v>
      </c>
      <c r="B15">
        <f>YEAR(sales_transactions_data_PM0305[[#This Row],[Transaction Date]])</f>
        <v>2023</v>
      </c>
      <c r="C15" s="1" t="str">
        <f>TEXT(sales_transactions_data_PM0305[[#This Row],[Transaction Date]], "MMMM")</f>
        <v>February</v>
      </c>
      <c r="D15" t="s">
        <v>9</v>
      </c>
      <c r="E15" t="s">
        <v>10</v>
      </c>
      <c r="F15" t="s">
        <v>35</v>
      </c>
      <c r="G15">
        <v>15</v>
      </c>
      <c r="H15">
        <v>7500</v>
      </c>
    </row>
    <row r="16" spans="1:8" x14ac:dyDescent="0.3">
      <c r="A16" s="1">
        <v>45000</v>
      </c>
      <c r="B16">
        <f>YEAR(sales_transactions_data_PM0305[[#This Row],[Transaction Date]])</f>
        <v>2023</v>
      </c>
      <c r="C16" s="1" t="str">
        <f>TEXT(sales_transactions_data_PM0305[[#This Row],[Transaction Date]], "MMMM")</f>
        <v>March</v>
      </c>
      <c r="D16" t="s">
        <v>12</v>
      </c>
      <c r="E16" t="s">
        <v>13</v>
      </c>
      <c r="F16" t="s">
        <v>36</v>
      </c>
      <c r="G16">
        <v>20</v>
      </c>
      <c r="H16">
        <v>4000</v>
      </c>
    </row>
    <row r="17" spans="1:8" x14ac:dyDescent="0.3">
      <c r="A17" s="1">
        <v>45036</v>
      </c>
      <c r="B17">
        <f>YEAR(sales_transactions_data_PM0305[[#This Row],[Transaction Date]])</f>
        <v>2023</v>
      </c>
      <c r="C17" s="1" t="str">
        <f>TEXT(sales_transactions_data_PM0305[[#This Row],[Transaction Date]], "MMMM")</f>
        <v>April</v>
      </c>
      <c r="D17" t="s">
        <v>6</v>
      </c>
      <c r="E17" t="s">
        <v>23</v>
      </c>
      <c r="F17" t="s">
        <v>37</v>
      </c>
      <c r="G17">
        <v>25</v>
      </c>
      <c r="H17">
        <v>5000</v>
      </c>
    </row>
    <row r="18" spans="1:8" x14ac:dyDescent="0.3">
      <c r="A18" s="1">
        <v>45071</v>
      </c>
      <c r="B18">
        <f>YEAR(sales_transactions_data_PM0305[[#This Row],[Transaction Date]])</f>
        <v>2023</v>
      </c>
      <c r="C18" s="1" t="str">
        <f>TEXT(sales_transactions_data_PM0305[[#This Row],[Transaction Date]], "MMMM")</f>
        <v>May</v>
      </c>
      <c r="D18" t="s">
        <v>17</v>
      </c>
      <c r="E18" t="s">
        <v>18</v>
      </c>
      <c r="F18" t="s">
        <v>38</v>
      </c>
      <c r="G18">
        <v>30</v>
      </c>
      <c r="H18">
        <v>3000</v>
      </c>
    </row>
    <row r="19" spans="1:8" x14ac:dyDescent="0.3">
      <c r="A19" s="1">
        <v>45107</v>
      </c>
      <c r="B19">
        <f>YEAR(sales_transactions_data_PM0305[[#This Row],[Transaction Date]])</f>
        <v>2023</v>
      </c>
      <c r="C19" s="1" t="str">
        <f>TEXT(sales_transactions_data_PM0305[[#This Row],[Transaction Date]], "MMMM")</f>
        <v>June</v>
      </c>
      <c r="D19" t="s">
        <v>20</v>
      </c>
      <c r="E19" t="s">
        <v>21</v>
      </c>
      <c r="F19" t="s">
        <v>39</v>
      </c>
      <c r="G19">
        <v>35</v>
      </c>
      <c r="H19">
        <v>1050</v>
      </c>
    </row>
    <row r="20" spans="1:8" x14ac:dyDescent="0.3">
      <c r="A20" s="1">
        <v>45112</v>
      </c>
      <c r="B20">
        <f>YEAR(sales_transactions_data_PM0305[[#This Row],[Transaction Date]])</f>
        <v>2023</v>
      </c>
      <c r="C20" s="1" t="str">
        <f>TEXT(sales_transactions_data_PM0305[[#This Row],[Transaction Date]], "MMMM")</f>
        <v>July</v>
      </c>
      <c r="D20" t="s">
        <v>6</v>
      </c>
      <c r="E20" t="s">
        <v>7</v>
      </c>
      <c r="F20" t="s">
        <v>40</v>
      </c>
      <c r="G20">
        <v>15</v>
      </c>
      <c r="H20">
        <v>15000</v>
      </c>
    </row>
    <row r="21" spans="1:8" x14ac:dyDescent="0.3">
      <c r="A21" s="1">
        <v>45148</v>
      </c>
      <c r="B21">
        <f>YEAR(sales_transactions_data_PM0305[[#This Row],[Transaction Date]])</f>
        <v>2023</v>
      </c>
      <c r="C21" s="1" t="str">
        <f>TEXT(sales_transactions_data_PM0305[[#This Row],[Transaction Date]], "MMMM")</f>
        <v>August</v>
      </c>
      <c r="D21" t="s">
        <v>9</v>
      </c>
      <c r="E21" t="s">
        <v>25</v>
      </c>
      <c r="F21" t="s">
        <v>41</v>
      </c>
      <c r="G21">
        <v>20</v>
      </c>
      <c r="H21">
        <v>4000</v>
      </c>
    </row>
    <row r="22" spans="1:8" x14ac:dyDescent="0.3">
      <c r="A22" s="1">
        <v>45184</v>
      </c>
      <c r="B22">
        <f>YEAR(sales_transactions_data_PM0305[[#This Row],[Transaction Date]])</f>
        <v>2023</v>
      </c>
      <c r="C22" s="1" t="str">
        <f>TEXT(sales_transactions_data_PM0305[[#This Row],[Transaction Date]], "MMMM")</f>
        <v>September</v>
      </c>
      <c r="D22" t="s">
        <v>12</v>
      </c>
      <c r="E22" t="s">
        <v>27</v>
      </c>
      <c r="F22" t="s">
        <v>42</v>
      </c>
      <c r="G22">
        <v>5</v>
      </c>
      <c r="H22">
        <v>10000</v>
      </c>
    </row>
    <row r="23" spans="1:8" x14ac:dyDescent="0.3">
      <c r="A23" s="1">
        <v>45219</v>
      </c>
      <c r="B23">
        <f>YEAR(sales_transactions_data_PM0305[[#This Row],[Transaction Date]])</f>
        <v>2023</v>
      </c>
      <c r="C23" s="1" t="str">
        <f>TEXT(sales_transactions_data_PM0305[[#This Row],[Transaction Date]], "MMMM")</f>
        <v>October</v>
      </c>
      <c r="D23" t="s">
        <v>6</v>
      </c>
      <c r="E23" t="s">
        <v>15</v>
      </c>
      <c r="F23" t="s">
        <v>43</v>
      </c>
      <c r="G23">
        <v>30</v>
      </c>
      <c r="H23">
        <v>30000</v>
      </c>
    </row>
    <row r="24" spans="1:8" x14ac:dyDescent="0.3">
      <c r="A24" s="1">
        <v>45255</v>
      </c>
      <c r="B24">
        <f>YEAR(sales_transactions_data_PM0305[[#This Row],[Transaction Date]])</f>
        <v>2023</v>
      </c>
      <c r="C24" s="1" t="str">
        <f>TEXT(sales_transactions_data_PM0305[[#This Row],[Transaction Date]], "MMMM")</f>
        <v>November</v>
      </c>
      <c r="D24" t="s">
        <v>17</v>
      </c>
      <c r="E24" t="s">
        <v>30</v>
      </c>
      <c r="F24" t="s">
        <v>44</v>
      </c>
      <c r="G24">
        <v>25</v>
      </c>
      <c r="H24">
        <v>2500</v>
      </c>
    </row>
    <row r="25" spans="1:8" x14ac:dyDescent="0.3">
      <c r="A25" s="1">
        <v>45290</v>
      </c>
      <c r="B25">
        <f>YEAR(sales_transactions_data_PM0305[[#This Row],[Transaction Date]])</f>
        <v>2023</v>
      </c>
      <c r="C25" s="1" t="str">
        <f>TEXT(sales_transactions_data_PM0305[[#This Row],[Transaction Date]], "MMMM")</f>
        <v>December</v>
      </c>
      <c r="D25" t="s">
        <v>20</v>
      </c>
      <c r="E25" t="s">
        <v>32</v>
      </c>
      <c r="F25" t="s">
        <v>45</v>
      </c>
      <c r="G25">
        <v>40</v>
      </c>
      <c r="H25">
        <v>2400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FAA433-6F44-4B8A-8274-5138242AC4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sales_transactions_data PM0305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Janay Wesso</dc:creator>
  <cp:lastModifiedBy>Janay Wesso</cp:lastModifiedBy>
  <dcterms:created xsi:type="dcterms:W3CDTF">2015-06-05T18:17:20Z</dcterms:created>
  <dcterms:modified xsi:type="dcterms:W3CDTF">2025-08-12T13:27:39Z</dcterms:modified>
</cp:coreProperties>
</file>