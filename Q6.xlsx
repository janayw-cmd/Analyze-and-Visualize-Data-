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mc:AlternateContent xmlns:mc="http://schemas.openxmlformats.org/markup-compatibility/2006">
    <mc:Choice Requires="x15">
      <x15ac:absPath xmlns:x15ac="http://schemas.microsoft.com/office/spreadsheetml/2010/11/ac" url="C:\AIE Studies\12 Practicals\3 Analyze and Visualize Data AVDS\Final\"/>
    </mc:Choice>
  </mc:AlternateContent>
  <xr:revisionPtr revIDLastSave="0" documentId="13_ncr:1_{02B9EAA4-42F9-4465-9AA0-244FBA6780C1}" xr6:coauthVersionLast="47" xr6:coauthVersionMax="47" xr10:uidLastSave="{00000000-0000-0000-0000-000000000000}"/>
  <bookViews>
    <workbookView xWindow="-108" yWindow="-108" windowWidth="23256" windowHeight="12456" xr2:uid="{00000000-000D-0000-FFFF-FFFF00000000}"/>
  </bookViews>
  <sheets>
    <sheet name="Sheet1" sheetId="7" r:id="rId1"/>
    <sheet name="Merged Data" sheetId="4" r:id="rId2"/>
    <sheet name="Sales Data" sheetId="5" r:id="rId3"/>
    <sheet name="Books and Authers" sheetId="6" r:id="rId4"/>
    <sheet name="sales_data_over_years PM0310" sheetId="3" r:id="rId5"/>
    <sheet name="inventory_details_data PM0306" sheetId="2" r:id="rId6"/>
    <sheet name="Hyperlinks" sheetId="1" r:id="rId7"/>
  </sheets>
  <definedNames>
    <definedName name="_xlcn.WorksheetConnection_Q6.xlsxinventory_details_data_PM03061" hidden="1">inventory_details_data_PM0306[]</definedName>
    <definedName name="_xlcn.WorksheetConnection_Q6.xlsxsales_data_over_years_PM03101" hidden="1">sales_data_over_years_PM0310[]</definedName>
    <definedName name="ExternalData_1" localSheetId="5" hidden="1">'inventory_details_data PM0306'!$A$1:$D$11</definedName>
    <definedName name="ExternalData_2" localSheetId="4" hidden="1">'sales_data_over_years PM0310'!$A$1:$E$25</definedName>
    <definedName name="ExternalData_3" localSheetId="3" hidden="1">'Books and Authers'!$A$1:$E$24</definedName>
    <definedName name="ExternalData_3" localSheetId="1" hidden="1">'Merged Data'!$A$1:$E$25</definedName>
    <definedName name="Slicer_Months__Sale_Date">#N/A</definedName>
    <definedName name="Slicer_Months__Sale_Date1">#N/A</definedName>
    <definedName name="Slicer_Region">#N/A</definedName>
    <definedName name="Slicer_Region1">#N/A</definedName>
  </definedNames>
  <calcPr calcId="191029"/>
  <pivotCaches>
    <pivotCache cacheId="29"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over_years_PM0310" name="sales_data_over_years_PM0310" connection="WorksheetConnection_Q6.xlsx!sales_data_over_years_PM0310"/>
          <x15:modelTable id="inventory_details_data_PM0306" name="inventory_details_data_PM0306" connection="WorksheetConnection_Q6.xlsx!inventory_details_data_PM030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2" l="1"/>
  <c r="F13" i="2" a="1"/>
  <c r="F1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1B90E3-1785-4459-8D5A-4578A4D74B85}" keepAlive="1" name="Query - inventory_details_data PM0306" description="Connection to the 'inventory_details_data PM0306' query in the workbook." type="5" refreshedVersion="8" background="1" saveData="1">
    <dbPr connection="Provider=Microsoft.Mashup.OleDb.1;Data Source=$Workbook$;Location=&quot;inventory_details_data PM0306&quot;;Extended Properties=&quot;&quot;" command="SELECT * FROM [inventory_details_data PM0306]"/>
  </connection>
  <connection id="2" xr16:uid="{94306FBB-0F5B-4BE6-AB15-3C64C2711988}"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9E6E47C7-CC88-466E-AAE0-F289CACB0C95}"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4" xr16:uid="{E58F3E46-3552-49EA-A415-FA935B0C25F9}" keepAlive="1" name="Query - sales_data_over_years PM0310" description="Connection to the 'sales_data_over_years PM0310' query in the workbook." type="5" refreshedVersion="8" background="1" saveData="1">
    <dbPr connection="Provider=Microsoft.Mashup.OleDb.1;Data Source=$Workbook$;Location=&quot;sales_data_over_years PM0310&quot;;Extended Properties=&quot;&quot;" command="SELECT * FROM [sales_data_over_years PM0310]"/>
  </connection>
  <connection id="5" xr16:uid="{AD548493-550F-47C8-B40F-7CCA7F1196DA}"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 id="6" xr16:uid="{AA3F0A5B-EDE0-41E9-8B31-1CEAC1D872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721788D-E116-46DE-9CB5-0C0DBD53F263}" name="WorksheetConnection_Q6.xlsx!inventory_details_data_PM0306" type="102" refreshedVersion="8" minRefreshableVersion="5">
    <extLst>
      <ext xmlns:x15="http://schemas.microsoft.com/office/spreadsheetml/2010/11/main" uri="{DE250136-89BD-433C-8126-D09CA5730AF9}">
        <x15:connection id="inventory_details_data_PM0306">
          <x15:rangePr sourceName="_xlcn.WorksheetConnection_Q6.xlsxinventory_details_data_PM03061"/>
        </x15:connection>
      </ext>
    </extLst>
  </connection>
  <connection id="8" xr16:uid="{756568E5-7257-442D-9E0B-3DBF753890E0}" name="WorksheetConnection_Q6.xlsx!sales_data_over_years_PM0310" type="102" refreshedVersion="8" minRefreshableVersion="5">
    <extLst>
      <ext xmlns:x15="http://schemas.microsoft.com/office/spreadsheetml/2010/11/main" uri="{DE250136-89BD-433C-8126-D09CA5730AF9}">
        <x15:connection id="sales_data_over_years_PM0310">
          <x15:rangePr sourceName="_xlcn.WorksheetConnection_Q6.xlsxsales_data_over_years_PM0310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<sst xmlns="http://schemas.openxmlformats.org/spreadsheetml/2006/main" count="202" uniqueCount="105">
  <si>
    <t>Product ID</t>
  </si>
  <si>
    <t>Product Name</t>
  </si>
  <si>
    <t>Category</t>
  </si>
  <si>
    <t>Stock Level</t>
  </si>
  <si>
    <t>Product A</t>
  </si>
  <si>
    <t>Electronics</t>
  </si>
  <si>
    <t>Product B</t>
  </si>
  <si>
    <t>Clothing</t>
  </si>
  <si>
    <t>Product C</t>
  </si>
  <si>
    <t>Home &amp; Kitchen</t>
  </si>
  <si>
    <t>Product D</t>
  </si>
  <si>
    <t>Sports</t>
  </si>
  <si>
    <t>Product E</t>
  </si>
  <si>
    <t>Books</t>
  </si>
  <si>
    <t>Product F</t>
  </si>
  <si>
    <t>Product G</t>
  </si>
  <si>
    <t>Product H</t>
  </si>
  <si>
    <t>Product I</t>
  </si>
  <si>
    <t>Product J</t>
  </si>
  <si>
    <t>Sale Date</t>
  </si>
  <si>
    <t>Region</t>
  </si>
  <si>
    <t>Units Sold</t>
  </si>
  <si>
    <t>Sales Amount</t>
  </si>
  <si>
    <t>North America</t>
  </si>
  <si>
    <t>Europe</t>
  </si>
  <si>
    <t>Asia</t>
  </si>
  <si>
    <t>Sum of Product ID</t>
  </si>
  <si>
    <t>Row Labels</t>
  </si>
  <si>
    <t>Grand Total</t>
  </si>
  <si>
    <t>Sum of Units Sold</t>
  </si>
  <si>
    <t>Sum of Sales Amount</t>
  </si>
  <si>
    <t>Book</t>
  </si>
  <si>
    <t>Original language</t>
  </si>
  <si>
    <t>First published</t>
  </si>
  <si>
    <t>She: A History of Adventure</t>
  </si>
  <si>
    <t>English</t>
  </si>
  <si>
    <t>The Da Vinci Code</t>
  </si>
  <si>
    <t>Harry Potter and the Chamber of Secrets</t>
  </si>
  <si>
    <t>The Catcher in the Rye</t>
  </si>
  <si>
    <t>Harry Potter and the Prisoner of Azkaban</t>
  </si>
  <si>
    <t>Harry Potter and the Goblet of Fire</t>
  </si>
  <si>
    <t>Harry Potter and the Order of Phoenix</t>
  </si>
  <si>
    <t>Harry Potter and the Half-Blood Prince</t>
  </si>
  <si>
    <t>Harry Potter and the Deathly Hallows</t>
  </si>
  <si>
    <t>The Bridges of Madison County</t>
  </si>
  <si>
    <t>One Hundred Years of Solitude (Cien años de soledad)</t>
  </si>
  <si>
    <t>Spanish</t>
  </si>
  <si>
    <t>Lolita</t>
  </si>
  <si>
    <t>Heidi</t>
  </si>
  <si>
    <t>German</t>
  </si>
  <si>
    <t>The Common Sense Book of Baby and Child Care</t>
  </si>
  <si>
    <t>Anne of Green Gables</t>
  </si>
  <si>
    <t>Black Beauty</t>
  </si>
  <si>
    <t>The Name of the Rose (Il Nome della Rosa)</t>
  </si>
  <si>
    <t>Italian</t>
  </si>
  <si>
    <t>The Eagle Has Landed</t>
  </si>
  <si>
    <t>Watership Down</t>
  </si>
  <si>
    <t>The Hite Report</t>
  </si>
  <si>
    <t>Charlotte's Web</t>
  </si>
  <si>
    <t>The Ginger Man</t>
  </si>
  <si>
    <t>The Purpose Driven Life</t>
  </si>
  <si>
    <t>Author(s)</t>
  </si>
  <si>
    <t>Genre</t>
  </si>
  <si>
    <t>H. Rider Haggard</t>
  </si>
  <si>
    <t>Adventure</t>
  </si>
  <si>
    <t>Dan Brown</t>
  </si>
  <si>
    <t>Mystery thriller</t>
  </si>
  <si>
    <t>J. K. Rowling</t>
  </si>
  <si>
    <t>Fantasy, children's fiction</t>
  </si>
  <si>
    <t>J. D. Salinger</t>
  </si>
  <si>
    <t>Coming-of-age</t>
  </si>
  <si>
    <t>Robert James Waller</t>
  </si>
  <si>
    <t>Romance</t>
  </si>
  <si>
    <t>Gabriel García Márquez</t>
  </si>
  <si>
    <t>Magic realism</t>
  </si>
  <si>
    <t>Vladimir Nabokov</t>
  </si>
  <si>
    <t>Novel</t>
  </si>
  <si>
    <t>Johanna Spyri</t>
  </si>
  <si>
    <t>Children's fiction</t>
  </si>
  <si>
    <t>Benjamin Spock</t>
  </si>
  <si>
    <t>Manual</t>
  </si>
  <si>
    <t>Lucy Maud Montgomery</t>
  </si>
  <si>
    <t>Children's novel</t>
  </si>
  <si>
    <t>Anna Sewell</t>
  </si>
  <si>
    <t>Children's literature</t>
  </si>
  <si>
    <t>Umberto Eco</t>
  </si>
  <si>
    <t>Historical novel, mystery</t>
  </si>
  <si>
    <t>Jack Higgins</t>
  </si>
  <si>
    <t>War, thriller</t>
  </si>
  <si>
    <t>Richard Adams</t>
  </si>
  <si>
    <t>Shere Hite</t>
  </si>
  <si>
    <t>nonfiction</t>
  </si>
  <si>
    <t>E. B. White</t>
  </si>
  <si>
    <t>J. P. Donleavy</t>
  </si>
  <si>
    <t>Rick Warren</t>
  </si>
  <si>
    <t>Bible study</t>
  </si>
  <si>
    <t>Work Sheet</t>
  </si>
  <si>
    <t>Sales</t>
  </si>
  <si>
    <t xml:space="preserve">Authers </t>
  </si>
  <si>
    <t>Languages</t>
  </si>
  <si>
    <t>Sales Data'!A1</t>
  </si>
  <si>
    <t>Books and Authers'!A1</t>
  </si>
  <si>
    <t>Total sales</t>
  </si>
  <si>
    <t>Average stock Level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</si>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</sst>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
  </numFmts>
  <fonts count="5" x14ac:knownFonts="1">
    <font>
      <sz val="11"/>
      <color theme="1"/>
      <name val="Calibri"/>
      <family val="2"/>
      <scheme val="minor"/>
    </font>
    <font>
      <sz val="11"/>
      <color rgb="FF006100"/>
      <name val="Calibri"/>
      <family val="2"/>
      <scheme val="minor"/>
    </font>
    <font>
      <sz val="8"/>
      <name val="Calibri"/>
      <family val="2"/>
      <scheme val="minor"/>
    </font>
    <font>
      <u/>
      <sz val="11"/>
      <color theme="10"/>
      <name val="Calibri"/>
      <family val="2"/>
      <scheme val="minor"/>
    </font>
    <font>
      <b/>
      <sz val="11"/>
      <color theme="1"/>
      <name val="Arial Nova"/>
      <family val="2"/>
    </font>
  </fonts>
  <fills count="3">
    <fill>
      <patternFill patternType="none"/>
    </fill>
    <fill>
      <patternFill patternType="gray125"/>
    </fill>
    <fill>
      <patternFill patternType="solid">
        <fgColor rgb="FFC6EFCE"/>
      </patternFill>
    </fill>
  </fills>
  <borders count="1">
    <border>
      <left/>
      <right/>
      <top/>
      <bottom/>
      <diagonal/>
    </border>
  </borders>
  <cellStyleXfs count="3">
    <xf numFmtId="0" fontId="0" fillId="0" borderId="0"/>
    <xf numFmtId="0" fontId="1" fillId="2" borderId="0" applyNumberFormat="0" applyBorder="0" applyAlignment="0" applyProtection="0"/>
    <xf numFmtId="0" fontId="3" fillId="0" borderId="0" applyNumberForma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3" fillId="0" borderId="0" xfId="2" quotePrefix="1"/>
    <xf numFmtId="0" fontId="1" fillId="2" borderId="0" xfId="1"/>
    <xf numFmtId="0" fontId="4" fillId="0" borderId="0" xfId="0" applyFont="1"/>
    <xf numFmtId="1" fontId="0" fillId="0" borderId="0" xfId="0" applyNumberFormat="1"/>
  </cellXfs>
  <cellStyles count="3">
    <cellStyle name="Good" xfId="1" builtinId="26"/>
    <cellStyle name="Hyperlink" xfId="2" builtinId="8"/>
    <cellStyle name="Normal" xfId="0" builtinId="0"/>
  </cellStyles>
  <dxfs count="23">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164" formatCode="&quot;R&quot;#,##0"/>
    </dxf>
    <dxf>
      <numFmt numFmtId="0" formatCode="General"/>
    </dxf>
    <dxf>
      <numFmt numFmtId="19" formatCode="yyyy/mm/dd"/>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164" formatCode="&quot;R&quot;#,##0"/>
    </dxf>
    <dxf>
      <numFmt numFmtId="164" formatCode="&quot;R&quot;#,##0"/>
    </dxf>
    <dxf>
      <numFmt numFmtId="164" formatCode="&quot;R&quot;#,##0"/>
    </dxf>
    <dxf>
      <numFmt numFmtId="1" formatCode="0"/>
    </dxf>
    <dxf>
      <numFmt numFmtId="0" formatCode="General"/>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microsoft.com/office/2007/relationships/slicerCache" Target="slicerCaches/slicerCache2.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[Q6.xlsx]Sheet1!PivotTable11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Total; Sold Per</a:t>
            </a:r>
            <a:r>
              <a:rPr lang="en-ZA" baseline="0"/>
              <a:t> Product</a:t>
            </a: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Sheet1!$B$3:$B$4</c:f>
              <c:strCache>
                <c:ptCount val="1"/>
                <c:pt idx="0">
                  <c:v>Asia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Sheet1!$A$5:$A$9</c:f>
              <c:strCache>
                <c:ptCount val="4"/>
                <c:pt idx="0">
                  <c:v>103</c:v>
                </c:pt>
                <c:pt idx="1">
                  <c:v>106</c:v>
                </c:pt>
                <c:pt idx="2">
                  <c:v>109</c:v>
                </c:pt>
                <c:pt idx="3">
                  <c:v>112</c:v>
                </c:pt>
              </c:strCache>
            </c:strRef>
          </c:cat>
          <c:val>
            <c:numRef>
              <c:f>Sheet1!$B$5:$B$9</c:f>
              <c:numCache>
                <c:formatCode>"R"#,##0</c:formatCode>
                <c:ptCount val="4"/>
                <c:pt idx="0">
                  <c:v>5500</c:v>
                </c:pt>
                <c:pt idx="1">
                  <c:v>4500</c:v>
                </c:pt>
                <c:pt idx="2">
                  <c:v>2500</c:v>
                </c:pt>
                <c:pt idx="3">
                  <c:v>3500</c:v>
                </c:pt>
              </c:numCache>
            </c:numRef>
          </c:val>
          <c:extLst>
            <c:ext xmlns:c16="http://schemas.microsoft.com/office/drawing/2014/chart" uri="{C3380CC4-5D6E-409C-BE32-E72D297353CC}">
              <c16:uniqueId val="{00000000-01B9-44E4-AC14-830025D07D70}"/>
            </c:ext>
          </c:extLst>
        </c:ser>
        <c:dLbls>
          <c:showLegendKey val="0"/>
          <c:showVal val="0"/>
          <c:showCatName val="0"/>
          <c:showSerName val="0"/>
          <c:showPercent val="0"/>
          <c:showBubbleSize val="0"/>
        </c:dLbls>
        <c:gapWidth val="100"/>
        <c:overlap val="-24"/>
        <c:axId val="383541503"/>
        <c:axId val="383533343"/>
      </c:barChart>
      <c:catAx>
        <c:axId val="383541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533343"/>
        <c:crosses val="autoZero"/>
        <c:auto val="1"/>
        <c:lblAlgn val="ctr"/>
        <c:lblOffset val="100"/>
        <c:noMultiLvlLbl val="0"/>
      </c:catAx>
      <c:valAx>
        <c:axId val="38353334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Total</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quot;R&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3541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[Q6.xlsx]Sales Data!PivotTable1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Inventory Summary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Data'!$B$3</c:f>
              <c:strCache>
                <c:ptCount val="1"/>
                <c:pt idx="0">
                  <c:v>Sum of Product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Data'!$A$4:$A$7</c:f>
              <c:strCache>
                <c:ptCount val="3"/>
                <c:pt idx="0">
                  <c:v>Asia</c:v>
                </c:pt>
                <c:pt idx="1">
                  <c:v>Europe</c:v>
                </c:pt>
                <c:pt idx="2">
                  <c:v>North America</c:v>
                </c:pt>
              </c:strCache>
            </c:strRef>
          </c:cat>
          <c:val>
            <c:numRef>
              <c:f>'Sales Data'!$B$4:$B$7</c:f>
              <c:numCache>
                <c:formatCode>General</c:formatCode>
                <c:ptCount val="3"/>
                <c:pt idx="0">
                  <c:v>860</c:v>
                </c:pt>
                <c:pt idx="1">
                  <c:v>852</c:v>
                </c:pt>
                <c:pt idx="2">
                  <c:v>844</c:v>
                </c:pt>
              </c:numCache>
            </c:numRef>
          </c:val>
          <c:extLst>
            <c:ext xmlns:c16="http://schemas.microsoft.com/office/drawing/2014/chart" uri="{C3380CC4-5D6E-409C-BE32-E72D297353CC}">
              <c16:uniqueId val="{00000000-DC18-4739-BC2B-5BF29CEF4ABE}"/>
            </c:ext>
          </c:extLst>
        </c:ser>
        <c:ser>
          <c:idx val="1"/>
          <c:order val="1"/>
          <c:tx>
            <c:strRef>
              <c:f>'Sales Data'!$C$3</c:f>
              <c:strCache>
                <c:ptCount val="1"/>
                <c:pt idx="0">
                  <c:v>Sum of Units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Data'!$A$4:$A$7</c:f>
              <c:strCache>
                <c:ptCount val="3"/>
                <c:pt idx="0">
                  <c:v>Asia</c:v>
                </c:pt>
                <c:pt idx="1">
                  <c:v>Europe</c:v>
                </c:pt>
                <c:pt idx="2">
                  <c:v>North America</c:v>
                </c:pt>
              </c:strCache>
            </c:strRef>
          </c:cat>
          <c:val>
            <c:numRef>
              <c:f>'Sales Data'!$C$4:$C$7</c:f>
              <c:numCache>
                <c:formatCode>General</c:formatCode>
                <c:ptCount val="3"/>
                <c:pt idx="0">
                  <c:v>160</c:v>
                </c:pt>
                <c:pt idx="1">
                  <c:v>180</c:v>
                </c:pt>
                <c:pt idx="2">
                  <c:v>160</c:v>
                </c:pt>
              </c:numCache>
            </c:numRef>
          </c:val>
          <c:extLst>
            <c:ext xmlns:c16="http://schemas.microsoft.com/office/drawing/2014/chart" uri="{C3380CC4-5D6E-409C-BE32-E72D297353CC}">
              <c16:uniqueId val="{00000001-DC18-4739-BC2B-5BF29CEF4ABE}"/>
            </c:ext>
          </c:extLst>
        </c:ser>
        <c:ser>
          <c:idx val="2"/>
          <c:order val="2"/>
          <c:tx>
            <c:strRef>
              <c:f>'Sales Data'!$D$3</c:f>
              <c:strCache>
                <c:ptCount val="1"/>
                <c:pt idx="0">
                  <c:v>Sum of Sales Amount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Data'!$A$4:$A$7</c:f>
              <c:strCache>
                <c:ptCount val="3"/>
                <c:pt idx="0">
                  <c:v>Asia</c:v>
                </c:pt>
                <c:pt idx="1">
                  <c:v>Europe</c:v>
                </c:pt>
                <c:pt idx="2">
                  <c:v>North America</c:v>
                </c:pt>
              </c:strCache>
            </c:strRef>
          </c:cat>
          <c:val>
            <c:numRef>
              <c:f>'Sales Data'!$D$4:$D$7</c:f>
              <c:numCache>
                <c:formatCode>"R"#,##0</c:formatCode>
                <c:ptCount val="3"/>
                <c:pt idx="0">
                  <c:v>16000</c:v>
                </c:pt>
                <c:pt idx="1">
                  <c:v>18000</c:v>
                </c:pt>
                <c:pt idx="2">
                  <c:v>16000</c:v>
                </c:pt>
              </c:numCache>
            </c:numRef>
          </c:val>
          <c:extLst>
            <c:ext xmlns:c16="http://schemas.microsoft.com/office/drawing/2014/chart" uri="{C3380CC4-5D6E-409C-BE32-E72D297353CC}">
              <c16:uniqueId val="{00000002-DC18-4739-BC2B-5BF29CEF4ABE}"/>
            </c:ext>
          </c:extLst>
        </c:ser>
        <c:dLbls>
          <c:showLegendKey val="0"/>
          <c:showVal val="0"/>
          <c:showCatName val="0"/>
          <c:showSerName val="0"/>
          <c:showPercent val="0"/>
          <c:showBubbleSize val="0"/>
        </c:dLbls>
        <c:gapWidth val="100"/>
        <c:overlap val="-24"/>
        <c:axId val="71410432"/>
        <c:axId val="71410912"/>
      </c:barChart>
      <c:catAx>
        <c:axId val="714104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10912"/>
        <c:crosses val="autoZero"/>
        <c:auto val="1"/>
        <c:lblAlgn val="ctr"/>
        <c:lblOffset val="100"/>
        <c:noMultiLvlLbl val="0"/>
      </c:catAx>
      <c:valAx>
        <c:axId val="714109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AMount</a:t>
                </a:r>
                <a:r>
                  <a:rPr lang="en-ZA" baseline="0"/>
                  <a:t> Sold</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41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99060</xdr:colOff>
      <xdr:row>1</xdr:row>
      <xdr:rowOff>175260</xdr:rowOff>
    </xdr:from>
    <xdr:to>
      <xdr:col>12</xdr:col>
      <xdr:colOff>373380</xdr:colOff>
      <xdr:row>23</xdr:row>
      <xdr:rowOff>76200</xdr:rowOff>
    </xdr:to>
    <xdr:graphicFrame macro="">
      <xdr:nvGraphicFramePr>
        <xdr:cNvPr id="2" name="Chart 1">
          <a:extLst>
            <a:ext uri="{FF2B5EF4-FFF2-40B4-BE49-F238E27FC236}">
              <a16:creationId xmlns:a16="http://schemas.microsoft.com/office/drawing/2014/main" id="{D82CBA40-9E3C-FD17-2E81-7CB70E7A66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495300</xdr:colOff>
      <xdr:row>1</xdr:row>
      <xdr:rowOff>167640</xdr:rowOff>
    </xdr:from>
    <xdr:to>
      <xdr:col>15</xdr:col>
      <xdr:colOff>495300</xdr:colOff>
      <xdr:row>15</xdr:row>
      <xdr:rowOff>74295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4F3A8FC0-4979-47C6-61A9-3D8874588E2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40240" y="3505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495300</xdr:colOff>
      <xdr:row>8</xdr:row>
      <xdr:rowOff>0</xdr:rowOff>
    </xdr:from>
    <xdr:to>
      <xdr:col>15</xdr:col>
      <xdr:colOff>495300</xdr:colOff>
      <xdr:row>21</xdr:row>
      <xdr:rowOff>89535</xdr:rowOff>
    </xdr:to>
    <mc:AlternateContent xmlns:mc="http://schemas.openxmlformats.org/markup-compatibility/2006">
      <mc:Choice xmlns:a14="http://schemas.microsoft.com/office/drawing/2010/main" Requires="a14">
        <xdr:graphicFrame macro="">
          <xdr:nvGraphicFramePr>
            <xdr:cNvPr id="4" name="Months (Sale Date) 1">
              <a:extLst>
                <a:ext uri="{FF2B5EF4-FFF2-40B4-BE49-F238E27FC236}">
                  <a16:creationId xmlns:a16="http://schemas.microsoft.com/office/drawing/2014/main" id="{B62E7CF3-C492-9B59-EA95-44CD6A2CBC3A}"/>
                </a:ext>
              </a:extLst>
            </xdr:cNvPr>
            <xdr:cNvGraphicFramePr/>
          </xdr:nvGraphicFramePr>
          <xdr:xfrm>
            <a:off x="0" y="0"/>
            <a:ext cx="0" cy="0"/>
          </xdr:xfrm>
          <a:graphic>
            <a:graphicData uri="http://schemas.microsoft.com/office/drawing/2010/slicer">
              <sle:slicer xmlns:sle="http://schemas.microsoft.com/office/drawing/2010/slicer" name="Months (Sale Date) 1"/>
            </a:graphicData>
          </a:graphic>
        </xdr:graphicFrame>
      </mc:Choice>
      <mc:Fallback>
        <xdr:sp macro="" textlink="">
          <xdr:nvSpPr>
            <xdr:cNvPr id="0" name=""/>
            <xdr:cNvSpPr>
              <a:spLocks noTextEdit="1"/>
            </xdr:cNvSpPr>
          </xdr:nvSpPr>
          <xdr:spPr>
            <a:xfrm>
              <a:off x="9540240" y="146304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22860</xdr:rowOff>
    </xdr:from>
    <xdr:to>
      <xdr:col>6</xdr:col>
      <xdr:colOff>99060</xdr:colOff>
      <xdr:row>28</xdr:row>
      <xdr:rowOff>83820</xdr:rowOff>
    </xdr:to>
    <xdr:graphicFrame macro="">
      <xdr:nvGraphicFramePr>
        <xdr:cNvPr id="2" name="Chart 1">
          <a:extLst>
            <a:ext uri="{FF2B5EF4-FFF2-40B4-BE49-F238E27FC236}">
              <a16:creationId xmlns:a16="http://schemas.microsoft.com/office/drawing/2014/main" id="{CCE93466-0EE6-FE31-1485-08407ACE2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152400</xdr:colOff>
      <xdr:row>22</xdr:row>
      <xdr:rowOff>15241</xdr:rowOff>
    </xdr:from>
    <xdr:to>
      <xdr:col>9</xdr:col>
      <xdr:colOff>152400</xdr:colOff>
      <xdr:row>28</xdr:row>
      <xdr:rowOff>160021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BDC151EB-9550-EC0C-B1F7-6BA952A014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98820" y="4038601"/>
              <a:ext cx="1828800" cy="12420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152400</xdr:colOff>
      <xdr:row>8</xdr:row>
      <xdr:rowOff>15240</xdr:rowOff>
    </xdr:from>
    <xdr:to>
      <xdr:col>9</xdr:col>
      <xdr:colOff>152400</xdr:colOff>
      <xdr:row>21</xdr:row>
      <xdr:rowOff>104775</xdr:rowOff>
    </xdr:to>
    <mc:AlternateContent xmlns:mc="http://schemas.openxmlformats.org/markup-compatibility/2006" xmlns:a14="http://schemas.microsoft.com/office/drawing/2010/main">
      <mc:Choice Requires="a14">
        <xdr:graphicFrame macro="">
          <xdr:nvGraphicFramePr>
            <xdr:cNvPr id="4" name="Months (Sale Date)">
              <a:extLst>
                <a:ext uri="{FF2B5EF4-FFF2-40B4-BE49-F238E27FC236}">
                  <a16:creationId xmlns:a16="http://schemas.microsoft.com/office/drawing/2014/main" id="{B46E1AA5-3898-636E-FE31-BCB12C384AED}"/>
                </a:ext>
              </a:extLst>
            </xdr:cNvPr>
            <xdr:cNvGraphicFramePr/>
          </xdr:nvGraphicFramePr>
          <xdr:xfrm>
            <a:off x="0" y="0"/>
            <a:ext cx="0" cy="0"/>
          </xdr:xfrm>
          <a:graphic>
            <a:graphicData uri="http://schemas.microsoft.com/office/drawing/2010/slicer">
              <sle:slicer xmlns:sle="http://schemas.microsoft.com/office/drawing/2010/slicer" name="Months (Sale Date)"/>
            </a:graphicData>
          </a:graphic>
        </xdr:graphicFrame>
      </mc:Choice>
      <mc:Fallback xmlns="">
        <xdr:sp macro="" textlink="">
          <xdr:nvSpPr>
            <xdr:cNvPr id="0" name=""/>
            <xdr:cNvSpPr>
              <a:spLocks noTextEdit="1"/>
            </xdr:cNvSpPr>
          </xdr:nvSpPr>
          <xdr:spPr>
            <a:xfrm>
              <a:off x="5798820" y="14782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nay Wesso" refreshedDate="45882.545596180556" createdVersion="8" refreshedVersion="8" minRefreshableVersion="3" recordCount="24" xr:uid="{7241F65F-36C7-4197-B904-8EDA0C756059}">
  <cacheSource type="worksheet">
    <worksheetSource name="Merge1"/>
  </cacheSource>
  <cacheFields count="8">
    <cacheField name="Sale Date" numFmtId="14">
      <sharedItems containsSemiMixedTypes="0" containsNonDate="0" containsDate="1" containsString="0" minDate="2022-01-05T00:00:00" maxDate="2023-12-31T00:00:00" count="24">
        <d v="2022-01-05T00:00:00"/>
        <d v="2022-02-10T00:00:00"/>
        <d v="2022-03-15T00:00:00"/>
        <d v="2022-04-20T00:00:00"/>
        <d v="2022-05-25T00:00:00"/>
        <d v="2022-06-30T00:00:00"/>
        <d v="2022-07-05T00:00:00"/>
        <d v="2022-08-10T00:00:00"/>
        <d v="2022-09-15T00:00:00"/>
        <d v="2022-10-20T00:00:00"/>
        <d v="2022-11-25T00:00:00"/>
        <d v="2022-12-30T00:00:00"/>
        <d v="2023-01-05T00:00:00"/>
        <d v="2023-02-10T00:00:00"/>
        <d v="2023-03-15T00:00:00"/>
        <d v="2023-04-20T00:00:00"/>
        <d v="2023-05-25T00:00:00"/>
        <d v="2023-06-30T00:00:00"/>
        <d v="2023-07-05T00:00:00"/>
        <d v="2023-08-10T00:00:00"/>
        <d v="2023-09-15T00:00:00"/>
        <d v="2023-10-20T00:00:00"/>
        <d v="2023-11-25T00:00:00"/>
        <d v="2023-12-30T00:00:00"/>
      </sharedItems>
      <fieldGroup par="7"/>
    </cacheField>
    <cacheField name="Product ID" numFmtId="0">
      <sharedItems containsSemiMixedTypes="0" containsString="0" containsNumber="1" containsInteger="1" minValue="101" maxValue="112" count="12">
        <n v="101"/>
        <n v="102"/>
        <n v="103"/>
        <n v="104"/>
        <n v="105"/>
        <n v="106"/>
        <n v="107"/>
        <n v="108"/>
        <n v="109"/>
        <n v="110"/>
        <n v="111"/>
        <n v="112"/>
      </sharedItems>
    </cacheField>
    <cacheField name="Region" numFmtId="0">
      <sharedItems count="3">
        <s v="North America"/>
        <s v="Europe"/>
        <s v="Asia"/>
      </sharedItems>
    </cacheField>
    <cacheField name="Units Sold" numFmtId="0">
      <sharedItems containsSemiMixedTypes="0" containsString="0" containsNumber="1" containsInteger="1" minValue="10" maxValue="30"/>
    </cacheField>
    <cacheField name="Sales Amount" numFmtId="0">
      <sharedItems containsSemiMixedTypes="0" containsString="0" containsNumber="1" containsInteger="1" minValue="1000" maxValue="3000"/>
    </cacheField>
    <cacheField name="Months (Sale Date)" numFmtId="0" databaseField="0">
      <fieldGroup base="0">
        <rangePr groupBy="months" startDate="2022-01-05T00:00:00" endDate="2023-12-31T00:00:00"/>
        <groupItems count="14">
          <s v="&lt;2022/01/05"/>
          <s v="Jan"/>
          <s v="Feb"/>
          <s v="Mar"/>
          <s v="Apr"/>
          <s v="May"/>
          <s v="Jun"/>
          <s v="Jul"/>
          <s v="Aug"/>
          <s v="Sept"/>
          <s v="Oct"/>
          <s v="Nov"/>
          <s v="Dec"/>
          <s v="&gt;2023/12/31"/>
        </groupItems>
      </fieldGroup>
    </cacheField>
    <cacheField name="Quarters (Sale Date)" numFmtId="0" databaseField="0">
      <fieldGroup base="0">
        <rangePr groupBy="quarters" startDate="2022-01-05T00:00:00" endDate="2023-12-31T00:00:00"/>
        <groupItems count="6">
          <s v="&lt;2022/01/05"/>
          <s v="Qtr1"/>
          <s v="Qtr2"/>
          <s v="Qtr3"/>
          <s v="Qtr4"/>
          <s v="&gt;2023/12/31"/>
        </groupItems>
      </fieldGroup>
    </cacheField>
    <cacheField name="Years (Sale Date)" numFmtId="0" databaseField="0">
      <fieldGroup base="0">
        <rangePr groupBy="years" startDate="2022-01-05T00:00:00" endDate="2023-12-31T00:00:00"/>
        <groupItems count="4">
          <s v="&lt;2022/01/05"/>
          <s v="2022"/>
          <s v="2023"/>
          <s v="&gt;2023/12/31"/>
        </groupItems>
      </fieldGroup>
    </cacheField>
  </cacheFields>
  <extLst>
    <ext xmlns:x14="http://schemas.microsoft.com/office/spreadsheetml/2009/9/main" uri="{725AE2AE-9491-48be-B2B4-4EB974FC3084}">
      <x14:pivotCacheDefinition pivotCacheId="16225075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x v="0"/>
    <n v="20"/>
    <n v="2000"/>
  </r>
  <r>
    <x v="1"/>
    <x v="1"/>
    <x v="1"/>
    <n v="30"/>
    <n v="3000"/>
  </r>
  <r>
    <x v="2"/>
    <x v="2"/>
    <x v="2"/>
    <n v="25"/>
    <n v="2500"/>
  </r>
  <r>
    <x v="3"/>
    <x v="3"/>
    <x v="0"/>
    <n v="10"/>
    <n v="1000"/>
  </r>
  <r>
    <x v="4"/>
    <x v="4"/>
    <x v="1"/>
    <n v="30"/>
    <n v="3000"/>
  </r>
  <r>
    <x v="5"/>
    <x v="5"/>
    <x v="2"/>
    <n v="20"/>
    <n v="2000"/>
  </r>
  <r>
    <x v="6"/>
    <x v="6"/>
    <x v="0"/>
    <n v="15"/>
    <n v="1500"/>
  </r>
  <r>
    <x v="7"/>
    <x v="7"/>
    <x v="1"/>
    <n v="25"/>
    <n v="2500"/>
  </r>
  <r>
    <x v="8"/>
    <x v="8"/>
    <x v="2"/>
    <n v="10"/>
    <n v="1000"/>
  </r>
  <r>
    <x v="9"/>
    <x v="9"/>
    <x v="0"/>
    <n v="30"/>
    <n v="3000"/>
  </r>
  <r>
    <x v="10"/>
    <x v="10"/>
    <x v="1"/>
    <n v="20"/>
    <n v="2000"/>
  </r>
  <r>
    <x v="11"/>
    <x v="11"/>
    <x v="2"/>
    <n v="15"/>
    <n v="1500"/>
  </r>
  <r>
    <x v="12"/>
    <x v="0"/>
    <x v="0"/>
    <n v="25"/>
    <n v="2500"/>
  </r>
  <r>
    <x v="13"/>
    <x v="1"/>
    <x v="1"/>
    <n v="15"/>
    <n v="1500"/>
  </r>
  <r>
    <x v="14"/>
    <x v="2"/>
    <x v="2"/>
    <n v="30"/>
    <n v="3000"/>
  </r>
  <r>
    <x v="15"/>
    <x v="3"/>
    <x v="0"/>
    <n v="20"/>
    <n v="2000"/>
  </r>
  <r>
    <x v="16"/>
    <x v="4"/>
    <x v="1"/>
    <n v="10"/>
    <n v="1000"/>
  </r>
  <r>
    <x v="17"/>
    <x v="5"/>
    <x v="2"/>
    <n v="25"/>
    <n v="2500"/>
  </r>
  <r>
    <x v="18"/>
    <x v="6"/>
    <x v="0"/>
    <n v="30"/>
    <n v="3000"/>
  </r>
  <r>
    <x v="19"/>
    <x v="7"/>
    <x v="1"/>
    <n v="20"/>
    <n v="2000"/>
  </r>
  <r>
    <x v="20"/>
    <x v="8"/>
    <x v="2"/>
    <n v="15"/>
    <n v="1500"/>
  </r>
  <r>
    <x v="21"/>
    <x v="9"/>
    <x v="0"/>
    <n v="10"/>
    <n v="1000"/>
  </r>
  <r>
    <x v="22"/>
    <x v="10"/>
    <x v="1"/>
    <n v="30"/>
    <n v="3000"/>
  </r>
  <r>
    <x v="23"/>
    <x v="11"/>
    <x v="2"/>
    <n v="20"/>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7DC23E-443B-4CD9-A8EA-657700626AEC}" name="PivotTable1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9" firstHeaderRow="1" firstDataRow="2" firstDataCol="1"/>
  <pivotFields count="8">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13">
        <item x="0"/>
        <item x="1"/>
        <item x="2"/>
        <item x="3"/>
        <item x="4"/>
        <item x="5"/>
        <item x="6"/>
        <item x="7"/>
        <item x="8"/>
        <item x="9"/>
        <item x="10"/>
        <item x="11"/>
        <item t="default"/>
      </items>
    </pivotField>
    <pivotField axis="axisCol" showAll="0">
      <items count="4">
        <item x="2"/>
        <item h="1" x="1"/>
        <item h="1" x="0"/>
        <item t="default"/>
      </items>
    </pivotField>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5">
    <i>
      <x v="2"/>
    </i>
    <i>
      <x v="5"/>
    </i>
    <i>
      <x v="8"/>
    </i>
    <i>
      <x v="11"/>
    </i>
    <i t="grand">
      <x/>
    </i>
  </rowItems>
  <colFields count="1">
    <field x="2"/>
  </colFields>
  <colItems count="2">
    <i>
      <x/>
    </i>
    <i t="grand">
      <x/>
    </i>
  </colItems>
  <dataFields count="1">
    <dataField name="Sum of Sales Amount" fld="4" baseField="0" baseItem="0" numFmtId="164"/>
  </dataFields>
  <formats count="1">
    <format dxfId="4">
      <pivotArea outline="0" collapsedLevelsAreSubtotals="1" fieldPosition="0"/>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221400-889E-4C76-B1DF-92779C97EBA1}"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0" firstDataRow="1" firstDataCol="1"/>
  <pivotFields count="8">
    <pivotField numFmtId="14"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axis="axisRow" showAll="0">
      <items count="4">
        <item x="2"/>
        <item x="1"/>
        <item x="0"/>
        <item t="default"/>
      </items>
    </pivotField>
    <pivotField dataField="1"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1"/>
    </i>
    <i>
      <x v="2"/>
    </i>
    <i t="grand">
      <x/>
    </i>
  </rowItems>
  <colFields count="1">
    <field x="-2"/>
  </colFields>
  <colItems count="3">
    <i>
      <x/>
    </i>
    <i i="1">
      <x v="1"/>
    </i>
    <i i="2">
      <x v="2"/>
    </i>
  </colItems>
  <dataFields count="3">
    <dataField name="Sum of Product ID" fld="1" baseField="0" baseItem="0"/>
    <dataField name="Sum of Units Sold" fld="3" baseField="0" baseItem="0"/>
    <dataField name="Sum of Sales Amount" fld="4" baseField="0" baseItem="0" numFmtId="164"/>
  </dataFields>
  <formats count="2">
    <format dxfId="18">
      <pivotArea outline="0" collapsedLevelsAreSubtotals="1" fieldPosition="0">
        <references count="1">
          <reference field="4294967294" count="1" selected="0">
            <x v="2"/>
          </reference>
        </references>
      </pivotArea>
    </format>
    <format dxfId="17">
      <pivotArea dataOnly="0" labelOnly="1"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 xr16:uid="{7CA707CF-B0F9-4256-8D5D-76B1B7D84ACE}" autoFormatId="16" applyNumberFormats="0" applyBorderFormats="0" applyFontFormats="0" applyPatternFormats="0" applyAlignmentFormats="0" applyWidthHeightFormats="0">
  <queryTableRefresh nextId="7">
    <queryTableFields count="5">
      <queryTableField id="1" name="Sale Date" tableColumnId="1"/>
      <queryTableField id="2" name="Product ID" tableColumnId="2"/>
      <queryTableField id="3" name="Region" tableColumnId="3"/>
      <queryTableField id="4" name="Units Sold" tableColumnId="4"/>
      <queryTableField id="5" name="Sales Amoun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F7416C7A-620B-4208-B199-D0A7162DD1B0}" autoFormatId="16" applyNumberFormats="0" applyBorderFormats="0" applyFontFormats="0" applyPatternFormats="0" applyAlignmentFormats="0" applyWidthHeightFormats="0">
  <queryTableRefresh nextId="7">
    <queryTableFields count="5">
      <queryTableField id="1" name="Book" tableColumnId="1"/>
      <queryTableField id="4" name="Author(s)" tableColumnId="4"/>
      <queryTableField id="2" name="Original language" tableColumnId="2"/>
      <queryTableField id="3" name="First published" tableColumnId="3"/>
      <queryTableField id="5" name="Genr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D0F28D91-77C1-4E5C-9F53-2984428428C1}" autoFormatId="16" applyNumberFormats="0" applyBorderFormats="0" applyFontFormats="0" applyPatternFormats="0" applyAlignmentFormats="0" applyWidthHeightFormats="0">
  <queryTableRefresh nextId="6">
    <queryTableFields count="5">
      <queryTableField id="1" name="Sale Date" tableColumnId="1"/>
      <queryTableField id="2" name="Product ID" tableColumnId="2"/>
      <queryTableField id="3" name="Region" tableColumnId="3"/>
      <queryTableField id="4" name="Units Sold" tableColumnId="4"/>
      <queryTableField id="5" name="Sales Amoun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169754C8-1AA6-4519-97CA-0EEDF594CD52}" autoFormatId="16" applyNumberFormats="0" applyBorderFormats="0" applyFontFormats="0" applyPatternFormats="0" applyAlignmentFormats="0" applyWidthHeightFormats="0">
  <queryTableRefresh nextId="5">
    <queryTableFields count="4">
      <queryTableField id="1" name="Product ID" tableColumnId="1"/>
      <queryTableField id="2" name="Product Name" tableColumnId="2"/>
      <queryTableField id="3" name="Category" tableColumnId="3"/>
      <queryTableField id="4" name="Stock Level"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095530-06BE-4131-94B4-0D1B92E2108C}" sourceName="Region">
  <pivotTables>
    <pivotTable tabId="5" name="PivotTable1"/>
  </pivotTables>
  <data>
    <tabular pivotCacheId="162250758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318EF308-B823-4501-A809-2B41557E7DFE}" sourceName="Months (Sale Date)">
  <pivotTables>
    <pivotTable tabId="5" name="PivotTable1"/>
  </pivotTables>
  <data>
    <tabular pivotCacheId="1622507586">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1D80A01-BF39-4EC5-BDB7-D78E2AC82185}" sourceName="Region">
  <pivotTables>
    <pivotTable tabId="7" name="PivotTable11"/>
  </pivotTables>
  <data>
    <tabular pivotCacheId="1622507586">
      <items count="3">
        <i x="2" s="1"/>
        <i x="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1" xr10:uid="{0173F9EF-7C83-40DF-A744-DFF9692392C0}" sourceName="Months (Sale Date)">
  <pivotTables>
    <pivotTable tabId="7" name="PivotTable11"/>
  </pivotTables>
  <data>
    <tabular pivotCacheId="1622507586">
      <items count="14">
        <i x="3" s="1"/>
        <i x="6" s="1"/>
        <i x="9" s="1"/>
        <i x="12" s="1"/>
        <i x="1" s="1" nd="1"/>
        <i x="2" s="1" nd="1"/>
        <i x="4" s="1" nd="1"/>
        <i x="5" s="1" nd="1"/>
        <i x="7" s="1" nd="1"/>
        <i x="8" s="1" nd="1"/>
        <i x="10" s="1" nd="1"/>
        <i x="11"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AAA0691-37FE-409F-9CDC-420B260DAE06}" cache="Slicer_Region1" caption="Region" rowHeight="234950"/>
  <slicer name="Months (Sale Date) 1" xr10:uid="{0995589F-C591-436F-AC58-9BD5C3BA35DC}" cache="Slicer_Months__Sale_Date1" caption="Months (Sale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494C8B-D240-4957-8447-ED68680028EE}" cache="Slicer_Region" caption="Region" rowHeight="234950"/>
  <slicer name="Months (Sale Date)" xr10:uid="{42EB0F38-F5C1-4070-81E7-104774874523}" cache="Slicer_Months__Sale_Date" caption="Months (Sale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B425F1-04E6-48DC-A953-9DA2E0CC1384}" name="Merge1" displayName="Merge1" ref="A1:E25" tableType="queryTable" totalsRowShown="0">
  <autoFilter ref="A1:E25" xr:uid="{57B425F1-04E6-48DC-A953-9DA2E0CC1384}"/>
  <tableColumns count="5">
    <tableColumn id="1" xr3:uid="{5C9C91BB-32E7-41EA-B25A-7F5C3AA841CB}" uniqueName="1" name="Sale Date" queryTableFieldId="1" dataDxfId="22"/>
    <tableColumn id="2" xr3:uid="{88598777-9390-4FBE-B788-F731A5B647F2}" uniqueName="2" name="Product ID" queryTableFieldId="2"/>
    <tableColumn id="3" xr3:uid="{4DF25A3F-19D7-40DA-83C0-54BBB1F98311}" uniqueName="3" name="Region" queryTableFieldId="3" dataDxfId="21"/>
    <tableColumn id="4" xr3:uid="{3C2016DE-780B-4C0C-9144-D2190EFAF045}" uniqueName="4" name="Units Sold" queryTableFieldId="4" dataDxfId="20"/>
    <tableColumn id="5" xr3:uid="{6EE1BA99-D746-481A-95F2-4D66ADA2BAB9}" uniqueName="5" name="Sales Amount" queryTableFieldId="5"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FFBA51-053E-4669-B8E5-4C7C494A5E62}" name="Table_2" displayName="Table_2" ref="A1:E24" tableType="queryTable" totalsRowShown="0">
  <autoFilter ref="A1:E24" xr:uid="{57FFBA51-053E-4669-B8E5-4C7C494A5E62}"/>
  <tableColumns count="5">
    <tableColumn id="1" xr3:uid="{8219503C-2CF5-4F21-8044-E1BE757CF0CF}" uniqueName="1" name="Book" queryTableFieldId="1" dataDxfId="16"/>
    <tableColumn id="4" xr3:uid="{E2E8E866-E276-4A34-9572-CE7D1BCC53E3}" uniqueName="4" name="Author(s)" queryTableFieldId="4" dataDxfId="15"/>
    <tableColumn id="2" xr3:uid="{E056A035-72F8-47A9-81D9-814F1F1845CF}" uniqueName="2" name="Original language" queryTableFieldId="2" dataDxfId="14"/>
    <tableColumn id="3" xr3:uid="{772E7C9A-BE38-4C9E-9766-7A1DCB9FF8F5}" uniqueName="3" name="First published" queryTableFieldId="3"/>
    <tableColumn id="5" xr3:uid="{B7A78F72-1D04-4A47-835B-A99FD06369CC}" uniqueName="5" name="Genre" queryTableFieldId="5"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681264-24DD-4C53-9DE4-7F9E54FB8889}" name="sales_data_over_years_PM0310" displayName="sales_data_over_years_PM0310" ref="A1:E25" tableType="queryTable" totalsRowShown="0">
  <autoFilter ref="A1:E25" xr:uid="{40681264-24DD-4C53-9DE4-7F9E54FB8889}"/>
  <tableColumns count="5">
    <tableColumn id="1" xr3:uid="{307B8BF2-74AF-4A19-8A53-0F24E3436C3C}" uniqueName="1" name="Sale Date" queryTableFieldId="1" dataDxfId="12" totalsRowDxfId="8"/>
    <tableColumn id="2" xr3:uid="{A069CF84-014F-48D1-B2A2-FFCA93E236C0}" uniqueName="2" name="Product ID" queryTableFieldId="2"/>
    <tableColumn id="3" xr3:uid="{EA7D9511-39E3-4D2B-A2E4-A6EDDBB9D7F2}" uniqueName="3" name="Region" queryTableFieldId="3" dataDxfId="11" totalsRowDxfId="7"/>
    <tableColumn id="4" xr3:uid="{BFEC1249-1562-4A7D-87E2-5E3A7858C233}" uniqueName="4" name="Units Sold" queryTableFieldId="4"/>
    <tableColumn id="5" xr3:uid="{6B41A419-647D-411E-AF97-72E8E9BE1110}" uniqueName="5" name="Sales Amount" queryTableFieldId="5" dataDxfId="6" totalsRow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00082-CE8F-450C-AEF6-1B6A318384AB}" name="inventory_details_data_PM0306" displayName="inventory_details_data_PM0306" ref="A1:D11" tableType="queryTable" totalsRowShown="0">
  <autoFilter ref="A1:D11" xr:uid="{F2E00082-CE8F-450C-AEF6-1B6A318384AB}"/>
  <tableColumns count="4">
    <tableColumn id="1" xr3:uid="{41383A9A-A7A1-4BA9-B3C4-D914DD69D365}" uniqueName="1" name="Product ID" queryTableFieldId="1"/>
    <tableColumn id="2" xr3:uid="{201AC611-16B2-4A5A-AFDA-5DE63E69941D}" uniqueName="2" name="Product Name" queryTableFieldId="2" dataDxfId="10"/>
    <tableColumn id="3" xr3:uid="{293E2F98-0095-47D5-BB59-FA31CADEB05E}" uniqueName="3" name="Category" queryTableFieldId="3" dataDxfId="9"/>
    <tableColumn id="4" xr3:uid="{8AACC321-4997-4D8D-AD5E-2DFC5C759343}" uniqueName="4" name="Stock Level"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48A1-2A1A-4761-828A-D48426EEBB88}">
  <dimension ref="A3:C9"/>
  <sheetViews>
    <sheetView tabSelected="1" workbookViewId="0">
      <selection activeCell="Q10" sqref="Q10"/>
    </sheetView>
  </sheetViews>
  <sheetFormatPr defaultRowHeight="14.4" x14ac:dyDescent="0.3"/>
  <cols>
    <col min="1" max="1" width="19.21875" bestFit="1" customWidth="1"/>
    <col min="2" max="2" width="15.5546875" bestFit="1" customWidth="1"/>
    <col min="3" max="3" width="10.77734375" bestFit="1" customWidth="1"/>
    <col min="4" max="4" width="13.33203125" bestFit="1" customWidth="1"/>
    <col min="5" max="5" width="10.77734375" bestFit="1" customWidth="1"/>
  </cols>
  <sheetData>
    <row r="3" spans="1:3" x14ac:dyDescent="0.3">
      <c r="A3" s="2" t="s">
        <v>30</v>
      </c>
      <c r="B3" s="2" t="s">
        <v>104</v>
      </c>
    </row>
    <row r="4" spans="1:3" x14ac:dyDescent="0.3">
      <c r="A4" s="2" t="s">
        <v>27</v>
      </c>
      <c r="B4" t="s">
        <v>25</v>
      </c>
      <c r="C4" t="s">
        <v>28</v>
      </c>
    </row>
    <row r="5" spans="1:3" x14ac:dyDescent="0.3">
      <c r="A5" s="3">
        <v>103</v>
      </c>
      <c r="B5" s="4">
        <v>5500</v>
      </c>
      <c r="C5" s="4">
        <v>5500</v>
      </c>
    </row>
    <row r="6" spans="1:3" x14ac:dyDescent="0.3">
      <c r="A6" s="3">
        <v>106</v>
      </c>
      <c r="B6" s="4">
        <v>4500</v>
      </c>
      <c r="C6" s="4">
        <v>4500</v>
      </c>
    </row>
    <row r="7" spans="1:3" x14ac:dyDescent="0.3">
      <c r="A7" s="3">
        <v>109</v>
      </c>
      <c r="B7" s="4">
        <v>2500</v>
      </c>
      <c r="C7" s="4">
        <v>2500</v>
      </c>
    </row>
    <row r="8" spans="1:3" x14ac:dyDescent="0.3">
      <c r="A8" s="3">
        <v>112</v>
      </c>
      <c r="B8" s="4">
        <v>3500</v>
      </c>
      <c r="C8" s="4">
        <v>3500</v>
      </c>
    </row>
    <row r="9" spans="1:3" x14ac:dyDescent="0.3">
      <c r="A9" s="3" t="s">
        <v>28</v>
      </c>
      <c r="B9" s="4">
        <v>16000</v>
      </c>
      <c r="C9" s="4">
        <v>16000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ADFD-A209-425D-A313-1BA9E8CF2B52}">
  <dimension ref="A1:H27"/>
  <sheetViews>
    <sheetView topLeftCell="A2" workbookViewId="0">
      <selection activeCell="D11" sqref="D11"/>
    </sheetView>
  </sheetViews>
  <sheetFormatPr defaultRowHeight="14.4" x14ac:dyDescent="0.3"/>
  <cols>
    <col min="1" max="1" width="11" bestFit="1" customWidth="1"/>
    <col min="2" max="2" width="12.109375" bestFit="1" customWidth="1"/>
    <col min="3" max="3" width="12.88671875" bestFit="1" customWidth="1"/>
    <col min="4" max="4" width="11.6640625" bestFit="1" customWidth="1"/>
    <col min="5" max="5" width="14.77734375" style="4" bestFit="1" customWidth="1"/>
    <col min="7" max="7" width="10.109375" bestFit="1" customWidth="1"/>
  </cols>
  <sheetData>
    <row r="1" spans="1:5" x14ac:dyDescent="0.3">
      <c r="A1" t="s">
        <v>19</v>
      </c>
      <c r="B1" t="s">
        <v>0</v>
      </c>
      <c r="C1" t="s">
        <v>20</v>
      </c>
      <c r="D1" t="s">
        <v>21</v>
      </c>
      <c r="E1" s="4" t="s">
        <v>22</v>
      </c>
    </row>
    <row r="2" spans="1:5" x14ac:dyDescent="0.3">
      <c r="A2" s="1">
        <v>44566</v>
      </c>
      <c r="B2">
        <v>101</v>
      </c>
      <c r="C2" t="s">
        <v>23</v>
      </c>
      <c r="D2" s="8">
        <v>20</v>
      </c>
      <c r="E2" s="4">
        <v>2000</v>
      </c>
    </row>
    <row r="3" spans="1:5" x14ac:dyDescent="0.3">
      <c r="A3" s="1">
        <v>44602</v>
      </c>
      <c r="B3">
        <v>102</v>
      </c>
      <c r="C3" t="s">
        <v>24</v>
      </c>
      <c r="D3" s="8">
        <v>30</v>
      </c>
      <c r="E3" s="4">
        <v>3000</v>
      </c>
    </row>
    <row r="4" spans="1:5" x14ac:dyDescent="0.3">
      <c r="A4" s="1">
        <v>44635</v>
      </c>
      <c r="B4">
        <v>103</v>
      </c>
      <c r="C4" t="s">
        <v>25</v>
      </c>
      <c r="D4" s="8">
        <v>25</v>
      </c>
      <c r="E4" s="4">
        <v>2500</v>
      </c>
    </row>
    <row r="5" spans="1:5" x14ac:dyDescent="0.3">
      <c r="A5" s="1">
        <v>44671</v>
      </c>
      <c r="B5">
        <v>104</v>
      </c>
      <c r="C5" t="s">
        <v>23</v>
      </c>
      <c r="D5" s="8">
        <v>10</v>
      </c>
      <c r="E5" s="4">
        <v>1000</v>
      </c>
    </row>
    <row r="6" spans="1:5" x14ac:dyDescent="0.3">
      <c r="A6" s="1">
        <v>44706</v>
      </c>
      <c r="B6">
        <v>105</v>
      </c>
      <c r="C6" t="s">
        <v>24</v>
      </c>
      <c r="D6" s="8">
        <v>30</v>
      </c>
      <c r="E6" s="4">
        <v>3000</v>
      </c>
    </row>
    <row r="7" spans="1:5" x14ac:dyDescent="0.3">
      <c r="A7" s="1">
        <v>44742</v>
      </c>
      <c r="B7">
        <v>106</v>
      </c>
      <c r="C7" t="s">
        <v>25</v>
      </c>
      <c r="D7" s="8">
        <v>20</v>
      </c>
      <c r="E7" s="4">
        <v>2000</v>
      </c>
    </row>
    <row r="8" spans="1:5" x14ac:dyDescent="0.3">
      <c r="A8" s="1">
        <v>44747</v>
      </c>
      <c r="B8">
        <v>107</v>
      </c>
      <c r="C8" t="s">
        <v>23</v>
      </c>
      <c r="D8" s="8">
        <v>15</v>
      </c>
      <c r="E8" s="4">
        <v>1500</v>
      </c>
    </row>
    <row r="9" spans="1:5" x14ac:dyDescent="0.3">
      <c r="A9" s="1">
        <v>44783</v>
      </c>
      <c r="B9">
        <v>108</v>
      </c>
      <c r="C9" t="s">
        <v>24</v>
      </c>
      <c r="D9" s="8">
        <v>25</v>
      </c>
      <c r="E9" s="4">
        <v>2500</v>
      </c>
    </row>
    <row r="10" spans="1:5" x14ac:dyDescent="0.3">
      <c r="A10" s="1">
        <v>44819</v>
      </c>
      <c r="B10">
        <v>109</v>
      </c>
      <c r="C10" t="s">
        <v>25</v>
      </c>
      <c r="D10" s="8">
        <v>10</v>
      </c>
      <c r="E10" s="4">
        <v>1000</v>
      </c>
    </row>
    <row r="11" spans="1:5" x14ac:dyDescent="0.3">
      <c r="A11" s="1">
        <v>44854</v>
      </c>
      <c r="B11">
        <v>110</v>
      </c>
      <c r="C11" t="s">
        <v>23</v>
      </c>
      <c r="D11" s="8">
        <v>30</v>
      </c>
      <c r="E11" s="4">
        <v>3000</v>
      </c>
    </row>
    <row r="12" spans="1:5" x14ac:dyDescent="0.3">
      <c r="A12" s="1">
        <v>44890</v>
      </c>
      <c r="B12">
        <v>111</v>
      </c>
      <c r="C12" t="s">
        <v>24</v>
      </c>
      <c r="D12" s="8">
        <v>20</v>
      </c>
      <c r="E12" s="4">
        <v>2000</v>
      </c>
    </row>
    <row r="13" spans="1:5" x14ac:dyDescent="0.3">
      <c r="A13" s="1">
        <v>44925</v>
      </c>
      <c r="B13">
        <v>112</v>
      </c>
      <c r="C13" t="s">
        <v>25</v>
      </c>
      <c r="D13" s="8">
        <v>15</v>
      </c>
      <c r="E13" s="4">
        <v>1500</v>
      </c>
    </row>
    <row r="14" spans="1:5" x14ac:dyDescent="0.3">
      <c r="A14" s="1">
        <v>44931</v>
      </c>
      <c r="B14">
        <v>101</v>
      </c>
      <c r="C14" t="s">
        <v>23</v>
      </c>
      <c r="D14" s="8">
        <v>25</v>
      </c>
      <c r="E14" s="4">
        <v>2500</v>
      </c>
    </row>
    <row r="15" spans="1:5" x14ac:dyDescent="0.3">
      <c r="A15" s="1">
        <v>44967</v>
      </c>
      <c r="B15">
        <v>102</v>
      </c>
      <c r="C15" t="s">
        <v>24</v>
      </c>
      <c r="D15" s="8">
        <v>15</v>
      </c>
      <c r="E15" s="4">
        <v>1500</v>
      </c>
    </row>
    <row r="16" spans="1:5" x14ac:dyDescent="0.3">
      <c r="A16" s="1">
        <v>45000</v>
      </c>
      <c r="B16">
        <v>103</v>
      </c>
      <c r="C16" t="s">
        <v>25</v>
      </c>
      <c r="D16" s="8">
        <v>30</v>
      </c>
      <c r="E16" s="4">
        <v>3000</v>
      </c>
    </row>
    <row r="17" spans="1:8" x14ac:dyDescent="0.3">
      <c r="A17" s="1">
        <v>45036</v>
      </c>
      <c r="B17">
        <v>104</v>
      </c>
      <c r="C17" t="s">
        <v>23</v>
      </c>
      <c r="D17" s="8">
        <v>20</v>
      </c>
      <c r="E17" s="4">
        <v>2000</v>
      </c>
    </row>
    <row r="18" spans="1:8" x14ac:dyDescent="0.3">
      <c r="A18" s="1">
        <v>45071</v>
      </c>
      <c r="B18">
        <v>105</v>
      </c>
      <c r="C18" t="s">
        <v>24</v>
      </c>
      <c r="D18" s="8">
        <v>10</v>
      </c>
      <c r="E18" s="4">
        <v>1000</v>
      </c>
    </row>
    <row r="19" spans="1:8" x14ac:dyDescent="0.3">
      <c r="A19" s="1">
        <v>45107</v>
      </c>
      <c r="B19">
        <v>106</v>
      </c>
      <c r="C19" t="s">
        <v>25</v>
      </c>
      <c r="D19" s="8">
        <v>25</v>
      </c>
      <c r="E19" s="4">
        <v>2500</v>
      </c>
    </row>
    <row r="20" spans="1:8" x14ac:dyDescent="0.3">
      <c r="A20" s="1">
        <v>45112</v>
      </c>
      <c r="B20">
        <v>107</v>
      </c>
      <c r="C20" t="s">
        <v>23</v>
      </c>
      <c r="D20" s="8">
        <v>30</v>
      </c>
      <c r="E20" s="4">
        <v>3000</v>
      </c>
    </row>
    <row r="21" spans="1:8" x14ac:dyDescent="0.3">
      <c r="A21" s="1">
        <v>45148</v>
      </c>
      <c r="B21">
        <v>108</v>
      </c>
      <c r="C21" t="s">
        <v>24</v>
      </c>
      <c r="D21" s="8">
        <v>20</v>
      </c>
      <c r="E21" s="4">
        <v>2000</v>
      </c>
    </row>
    <row r="22" spans="1:8" x14ac:dyDescent="0.3">
      <c r="A22" s="1">
        <v>45184</v>
      </c>
      <c r="B22">
        <v>109</v>
      </c>
      <c r="C22" t="s">
        <v>25</v>
      </c>
      <c r="D22" s="8">
        <v>15</v>
      </c>
      <c r="E22" s="4">
        <v>1500</v>
      </c>
    </row>
    <row r="23" spans="1:8" x14ac:dyDescent="0.3">
      <c r="A23" s="1">
        <v>45219</v>
      </c>
      <c r="B23">
        <v>110</v>
      </c>
      <c r="C23" t="s">
        <v>23</v>
      </c>
      <c r="D23" s="8">
        <v>10</v>
      </c>
      <c r="E23" s="4">
        <v>1000</v>
      </c>
    </row>
    <row r="24" spans="1:8" x14ac:dyDescent="0.3">
      <c r="A24" s="1">
        <v>45255</v>
      </c>
      <c r="B24">
        <v>111</v>
      </c>
      <c r="C24" t="s">
        <v>24</v>
      </c>
      <c r="D24" s="8">
        <v>30</v>
      </c>
      <c r="E24" s="4">
        <v>3000</v>
      </c>
    </row>
    <row r="25" spans="1:8" x14ac:dyDescent="0.3">
      <c r="A25" s="1">
        <v>45290</v>
      </c>
      <c r="B25">
        <v>112</v>
      </c>
      <c r="C25" t="s">
        <v>25</v>
      </c>
      <c r="D25" s="8">
        <v>20</v>
      </c>
      <c r="E25" s="4">
        <v>2000</v>
      </c>
    </row>
    <row r="27" spans="1:8" x14ac:dyDescent="0.3">
      <c r="H27"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81C26-D707-4195-8BBB-1CBDA8659D21}">
  <dimension ref="A3:D7"/>
  <sheetViews>
    <sheetView workbookViewId="0">
      <selection activeCell="C4" sqref="C4"/>
    </sheetView>
  </sheetViews>
  <sheetFormatPr defaultRowHeight="14.4" x14ac:dyDescent="0.3"/>
  <cols>
    <col min="1" max="1" width="12.88671875" bestFit="1" customWidth="1"/>
    <col min="2" max="2" width="16.44140625" bestFit="1" customWidth="1"/>
    <col min="3" max="3" width="16" bestFit="1" customWidth="1"/>
    <col min="4" max="4" width="19.21875" style="4" bestFit="1" customWidth="1"/>
  </cols>
  <sheetData>
    <row r="3" spans="1:4" x14ac:dyDescent="0.3">
      <c r="A3" s="2" t="s">
        <v>27</v>
      </c>
      <c r="B3" t="s">
        <v>26</v>
      </c>
      <c r="C3" t="s">
        <v>29</v>
      </c>
      <c r="D3" s="4" t="s">
        <v>30</v>
      </c>
    </row>
    <row r="4" spans="1:4" x14ac:dyDescent="0.3">
      <c r="A4" s="3" t="s">
        <v>25</v>
      </c>
      <c r="B4">
        <v>860</v>
      </c>
      <c r="C4">
        <v>160</v>
      </c>
      <c r="D4" s="4">
        <v>16000</v>
      </c>
    </row>
    <row r="5" spans="1:4" x14ac:dyDescent="0.3">
      <c r="A5" s="3" t="s">
        <v>24</v>
      </c>
      <c r="B5">
        <v>852</v>
      </c>
      <c r="C5">
        <v>180</v>
      </c>
      <c r="D5" s="4">
        <v>18000</v>
      </c>
    </row>
    <row r="6" spans="1:4" x14ac:dyDescent="0.3">
      <c r="A6" s="3" t="s">
        <v>23</v>
      </c>
      <c r="B6">
        <v>844</v>
      </c>
      <c r="C6">
        <v>160</v>
      </c>
      <c r="D6" s="4">
        <v>16000</v>
      </c>
    </row>
    <row r="7" spans="1:4" x14ac:dyDescent="0.3">
      <c r="A7" s="3" t="s">
        <v>28</v>
      </c>
      <c r="B7">
        <v>2556</v>
      </c>
      <c r="C7">
        <v>500</v>
      </c>
      <c r="D7" s="4">
        <v>50000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5360-2D15-4616-A838-CA2FF0F0CB3D}">
  <dimension ref="A1:E24"/>
  <sheetViews>
    <sheetView workbookViewId="0">
      <selection activeCell="G12" sqref="G12"/>
    </sheetView>
  </sheetViews>
  <sheetFormatPr defaultRowHeight="14.4" x14ac:dyDescent="0.3"/>
  <cols>
    <col min="1" max="1" width="51.6640625" bestFit="1" customWidth="1"/>
    <col min="2" max="2" width="21.88671875" bestFit="1" customWidth="1"/>
    <col min="3" max="3" width="18.33203125" bestFit="1" customWidth="1"/>
    <col min="4" max="4" width="16.109375" customWidth="1"/>
    <col min="5" max="5" width="23.21875" bestFit="1" customWidth="1"/>
  </cols>
  <sheetData>
    <row r="1" spans="1:5" x14ac:dyDescent="0.3">
      <c r="A1" t="s">
        <v>31</v>
      </c>
      <c r="B1" t="s">
        <v>61</v>
      </c>
      <c r="C1" t="s">
        <v>32</v>
      </c>
      <c r="D1" t="s">
        <v>33</v>
      </c>
      <c r="E1" t="s">
        <v>62</v>
      </c>
    </row>
    <row r="2" spans="1:5" x14ac:dyDescent="0.3">
      <c r="A2" t="s">
        <v>34</v>
      </c>
      <c r="B2" t="s">
        <v>63</v>
      </c>
      <c r="C2" t="s">
        <v>35</v>
      </c>
      <c r="D2">
        <v>1887</v>
      </c>
      <c r="E2" t="s">
        <v>64</v>
      </c>
    </row>
    <row r="3" spans="1:5" x14ac:dyDescent="0.3">
      <c r="A3" t="s">
        <v>36</v>
      </c>
      <c r="B3" t="s">
        <v>65</v>
      </c>
      <c r="C3" t="s">
        <v>35</v>
      </c>
      <c r="D3">
        <v>2003</v>
      </c>
      <c r="E3" t="s">
        <v>66</v>
      </c>
    </row>
    <row r="4" spans="1:5" x14ac:dyDescent="0.3">
      <c r="A4" t="s">
        <v>37</v>
      </c>
      <c r="B4" t="s">
        <v>67</v>
      </c>
      <c r="C4" t="s">
        <v>35</v>
      </c>
      <c r="D4">
        <v>1998</v>
      </c>
      <c r="E4" t="s">
        <v>68</v>
      </c>
    </row>
    <row r="5" spans="1:5" x14ac:dyDescent="0.3">
      <c r="A5" t="s">
        <v>38</v>
      </c>
      <c r="B5" t="s">
        <v>69</v>
      </c>
      <c r="C5" t="s">
        <v>35</v>
      </c>
      <c r="D5">
        <v>1951</v>
      </c>
      <c r="E5" t="s">
        <v>70</v>
      </c>
    </row>
    <row r="6" spans="1:5" x14ac:dyDescent="0.3">
      <c r="A6" t="s">
        <v>39</v>
      </c>
      <c r="B6" t="s">
        <v>67</v>
      </c>
      <c r="C6" t="s">
        <v>35</v>
      </c>
      <c r="D6">
        <v>1999</v>
      </c>
      <c r="E6" t="s">
        <v>68</v>
      </c>
    </row>
    <row r="7" spans="1:5" x14ac:dyDescent="0.3">
      <c r="A7" t="s">
        <v>40</v>
      </c>
      <c r="B7" t="s">
        <v>67</v>
      </c>
      <c r="C7" t="s">
        <v>35</v>
      </c>
      <c r="D7">
        <v>2000</v>
      </c>
      <c r="E7" t="s">
        <v>68</v>
      </c>
    </row>
    <row r="8" spans="1:5" x14ac:dyDescent="0.3">
      <c r="A8" t="s">
        <v>41</v>
      </c>
      <c r="B8" t="s">
        <v>67</v>
      </c>
      <c r="C8" t="s">
        <v>35</v>
      </c>
      <c r="D8">
        <v>2003</v>
      </c>
      <c r="E8" t="s">
        <v>68</v>
      </c>
    </row>
    <row r="9" spans="1:5" x14ac:dyDescent="0.3">
      <c r="A9" t="s">
        <v>42</v>
      </c>
      <c r="B9" t="s">
        <v>67</v>
      </c>
      <c r="C9" t="s">
        <v>35</v>
      </c>
      <c r="D9">
        <v>2005</v>
      </c>
      <c r="E9" t="s">
        <v>68</v>
      </c>
    </row>
    <row r="10" spans="1:5" x14ac:dyDescent="0.3">
      <c r="A10" t="s">
        <v>43</v>
      </c>
      <c r="B10" t="s">
        <v>67</v>
      </c>
      <c r="C10" t="s">
        <v>35</v>
      </c>
      <c r="D10">
        <v>2007</v>
      </c>
      <c r="E10" t="s">
        <v>68</v>
      </c>
    </row>
    <row r="11" spans="1:5" x14ac:dyDescent="0.3">
      <c r="A11" t="s">
        <v>44</v>
      </c>
      <c r="B11" t="s">
        <v>71</v>
      </c>
      <c r="C11" t="s">
        <v>35</v>
      </c>
      <c r="D11">
        <v>1992</v>
      </c>
      <c r="E11" t="s">
        <v>72</v>
      </c>
    </row>
    <row r="12" spans="1:5" x14ac:dyDescent="0.3">
      <c r="A12" t="s">
        <v>45</v>
      </c>
      <c r="B12" t="s">
        <v>73</v>
      </c>
      <c r="C12" t="s">
        <v>46</v>
      </c>
      <c r="D12">
        <v>1967</v>
      </c>
      <c r="E12" t="s">
        <v>74</v>
      </c>
    </row>
    <row r="13" spans="1:5" x14ac:dyDescent="0.3">
      <c r="A13" t="s">
        <v>47</v>
      </c>
      <c r="B13" t="s">
        <v>75</v>
      </c>
      <c r="C13" t="s">
        <v>35</v>
      </c>
      <c r="D13">
        <v>1955</v>
      </c>
      <c r="E13" t="s">
        <v>76</v>
      </c>
    </row>
    <row r="14" spans="1:5" x14ac:dyDescent="0.3">
      <c r="A14" t="s">
        <v>48</v>
      </c>
      <c r="B14" t="s">
        <v>77</v>
      </c>
      <c r="C14" t="s">
        <v>49</v>
      </c>
      <c r="D14">
        <v>1880</v>
      </c>
      <c r="E14" t="s">
        <v>78</v>
      </c>
    </row>
    <row r="15" spans="1:5" x14ac:dyDescent="0.3">
      <c r="A15" t="s">
        <v>50</v>
      </c>
      <c r="B15" t="s">
        <v>79</v>
      </c>
      <c r="C15" t="s">
        <v>35</v>
      </c>
      <c r="D15">
        <v>1946</v>
      </c>
      <c r="E15" t="s">
        <v>80</v>
      </c>
    </row>
    <row r="16" spans="1:5" x14ac:dyDescent="0.3">
      <c r="A16" t="s">
        <v>51</v>
      </c>
      <c r="B16" t="s">
        <v>81</v>
      </c>
      <c r="C16" t="s">
        <v>35</v>
      </c>
      <c r="D16">
        <v>1908</v>
      </c>
      <c r="E16" t="s">
        <v>82</v>
      </c>
    </row>
    <row r="17" spans="1:5" x14ac:dyDescent="0.3">
      <c r="A17" t="s">
        <v>52</v>
      </c>
      <c r="B17" t="s">
        <v>83</v>
      </c>
      <c r="C17" t="s">
        <v>35</v>
      </c>
      <c r="D17">
        <v>1877</v>
      </c>
      <c r="E17" t="s">
        <v>84</v>
      </c>
    </row>
    <row r="18" spans="1:5" x14ac:dyDescent="0.3">
      <c r="A18" t="s">
        <v>53</v>
      </c>
      <c r="B18" t="s">
        <v>85</v>
      </c>
      <c r="C18" t="s">
        <v>54</v>
      </c>
      <c r="D18">
        <v>1980</v>
      </c>
      <c r="E18" t="s">
        <v>86</v>
      </c>
    </row>
    <row r="19" spans="1:5" x14ac:dyDescent="0.3">
      <c r="A19" t="s">
        <v>55</v>
      </c>
      <c r="B19" t="s">
        <v>87</v>
      </c>
      <c r="C19" t="s">
        <v>35</v>
      </c>
      <c r="D19">
        <v>1975</v>
      </c>
      <c r="E19" t="s">
        <v>88</v>
      </c>
    </row>
    <row r="20" spans="1:5" x14ac:dyDescent="0.3">
      <c r="A20" t="s">
        <v>56</v>
      </c>
      <c r="B20" t="s">
        <v>89</v>
      </c>
      <c r="C20" t="s">
        <v>35</v>
      </c>
      <c r="D20">
        <v>1972</v>
      </c>
      <c r="E20" t="s">
        <v>78</v>
      </c>
    </row>
    <row r="21" spans="1:5" x14ac:dyDescent="0.3">
      <c r="A21" t="s">
        <v>57</v>
      </c>
      <c r="B21" t="s">
        <v>90</v>
      </c>
      <c r="C21" t="s">
        <v>35</v>
      </c>
      <c r="D21">
        <v>1976</v>
      </c>
      <c r="E21" t="s">
        <v>91</v>
      </c>
    </row>
    <row r="22" spans="1:5" x14ac:dyDescent="0.3">
      <c r="A22" t="s">
        <v>58</v>
      </c>
      <c r="B22" t="s">
        <v>92</v>
      </c>
      <c r="C22" t="s">
        <v>35</v>
      </c>
      <c r="D22">
        <v>1952</v>
      </c>
      <c r="E22" t="s">
        <v>78</v>
      </c>
    </row>
    <row r="23" spans="1:5" x14ac:dyDescent="0.3">
      <c r="A23" t="s">
        <v>59</v>
      </c>
      <c r="B23" t="s">
        <v>93</v>
      </c>
      <c r="C23" t="s">
        <v>35</v>
      </c>
      <c r="D23">
        <v>1955</v>
      </c>
      <c r="E23" t="s">
        <v>76</v>
      </c>
    </row>
    <row r="24" spans="1:5" x14ac:dyDescent="0.3">
      <c r="A24" t="s">
        <v>60</v>
      </c>
      <c r="B24" t="s">
        <v>94</v>
      </c>
      <c r="C24" t="s">
        <v>35</v>
      </c>
      <c r="D24">
        <v>2002</v>
      </c>
      <c r="E24" t="s">
        <v>95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5A846-D3C9-4707-B7C7-015A5562828B}">
  <dimension ref="A1:H25"/>
  <sheetViews>
    <sheetView workbookViewId="0">
      <selection activeCell="H17" sqref="H17"/>
    </sheetView>
  </sheetViews>
  <sheetFormatPr defaultRowHeight="14.4" x14ac:dyDescent="0.3"/>
  <cols>
    <col min="1" max="1" width="11" bestFit="1" customWidth="1"/>
    <col min="2" max="2" width="12.109375" bestFit="1" customWidth="1"/>
    <col min="3" max="3" width="12.88671875" bestFit="1" customWidth="1"/>
    <col min="4" max="4" width="11.6640625" bestFit="1" customWidth="1"/>
    <col min="5" max="5" width="14.77734375" style="4" bestFit="1" customWidth="1"/>
    <col min="6" max="6" width="10" bestFit="1" customWidth="1"/>
    <col min="7" max="7" width="12.5546875" bestFit="1" customWidth="1"/>
    <col min="8" max="8" width="10" bestFit="1" customWidth="1"/>
  </cols>
  <sheetData>
    <row r="1" spans="1:8" x14ac:dyDescent="0.3">
      <c r="A1" t="s">
        <v>19</v>
      </c>
      <c r="B1" t="s">
        <v>0</v>
      </c>
      <c r="C1" t="s">
        <v>20</v>
      </c>
      <c r="D1" t="s">
        <v>21</v>
      </c>
      <c r="E1" s="4" t="s">
        <v>22</v>
      </c>
    </row>
    <row r="2" spans="1:8" x14ac:dyDescent="0.3">
      <c r="A2" s="1">
        <v>44566</v>
      </c>
      <c r="B2">
        <v>101</v>
      </c>
      <c r="C2" t="s">
        <v>23</v>
      </c>
      <c r="D2">
        <v>20</v>
      </c>
      <c r="E2" s="4">
        <v>2000</v>
      </c>
    </row>
    <row r="3" spans="1:8" x14ac:dyDescent="0.3">
      <c r="A3" s="1">
        <v>44602</v>
      </c>
      <c r="B3">
        <v>102</v>
      </c>
      <c r="C3" t="s">
        <v>24</v>
      </c>
      <c r="D3">
        <v>30</v>
      </c>
      <c r="E3" s="4">
        <v>3000</v>
      </c>
    </row>
    <row r="4" spans="1:8" x14ac:dyDescent="0.3">
      <c r="A4" s="1">
        <v>44635</v>
      </c>
      <c r="B4">
        <v>103</v>
      </c>
      <c r="C4" t="s">
        <v>25</v>
      </c>
      <c r="D4">
        <v>25</v>
      </c>
      <c r="E4" s="4">
        <v>2500</v>
      </c>
    </row>
    <row r="5" spans="1:8" x14ac:dyDescent="0.3">
      <c r="A5" s="1">
        <v>44671</v>
      </c>
      <c r="B5">
        <v>104</v>
      </c>
      <c r="C5" t="s">
        <v>23</v>
      </c>
      <c r="D5">
        <v>10</v>
      </c>
      <c r="E5" s="4">
        <v>1000</v>
      </c>
    </row>
    <row r="6" spans="1:8" x14ac:dyDescent="0.3">
      <c r="A6" s="1">
        <v>44706</v>
      </c>
      <c r="B6">
        <v>105</v>
      </c>
      <c r="C6" t="s">
        <v>24</v>
      </c>
      <c r="D6">
        <v>30</v>
      </c>
      <c r="E6" s="4">
        <v>3000</v>
      </c>
    </row>
    <row r="7" spans="1:8" x14ac:dyDescent="0.3">
      <c r="A7" s="1">
        <v>44742</v>
      </c>
      <c r="B7">
        <v>106</v>
      </c>
      <c r="C7" t="s">
        <v>25</v>
      </c>
      <c r="D7">
        <v>20</v>
      </c>
      <c r="E7" s="4">
        <v>2000</v>
      </c>
    </row>
    <row r="8" spans="1:8" x14ac:dyDescent="0.3">
      <c r="A8" s="1">
        <v>44747</v>
      </c>
      <c r="B8">
        <v>107</v>
      </c>
      <c r="C8" t="s">
        <v>23</v>
      </c>
      <c r="D8">
        <v>15</v>
      </c>
      <c r="E8" s="4">
        <v>1500</v>
      </c>
    </row>
    <row r="9" spans="1:8" x14ac:dyDescent="0.3">
      <c r="A9" s="1">
        <v>44783</v>
      </c>
      <c r="B9">
        <v>108</v>
      </c>
      <c r="C9" t="s">
        <v>24</v>
      </c>
      <c r="D9">
        <v>25</v>
      </c>
      <c r="E9" s="4">
        <v>2500</v>
      </c>
    </row>
    <row r="10" spans="1:8" x14ac:dyDescent="0.3">
      <c r="A10" s="1">
        <v>44819</v>
      </c>
      <c r="B10">
        <v>109</v>
      </c>
      <c r="C10" t="s">
        <v>25</v>
      </c>
      <c r="D10">
        <v>10</v>
      </c>
      <c r="E10" s="4">
        <v>1000</v>
      </c>
    </row>
    <row r="11" spans="1:8" x14ac:dyDescent="0.3">
      <c r="A11" s="1">
        <v>44854</v>
      </c>
      <c r="B11">
        <v>110</v>
      </c>
      <c r="C11" t="s">
        <v>23</v>
      </c>
      <c r="D11">
        <v>30</v>
      </c>
      <c r="E11" s="4">
        <v>3000</v>
      </c>
    </row>
    <row r="12" spans="1:8" x14ac:dyDescent="0.3">
      <c r="A12" s="1">
        <v>44890</v>
      </c>
      <c r="B12">
        <v>111</v>
      </c>
      <c r="C12" t="s">
        <v>24</v>
      </c>
      <c r="D12">
        <v>20</v>
      </c>
      <c r="E12" s="4">
        <v>2000</v>
      </c>
    </row>
    <row r="13" spans="1:8" x14ac:dyDescent="0.3">
      <c r="A13" s="1">
        <v>44925</v>
      </c>
      <c r="B13">
        <v>112</v>
      </c>
      <c r="C13" t="s">
        <v>25</v>
      </c>
      <c r="D13">
        <v>15</v>
      </c>
      <c r="E13" s="4">
        <v>1500</v>
      </c>
    </row>
    <row r="14" spans="1:8" x14ac:dyDescent="0.3">
      <c r="A14" s="1">
        <v>44931</v>
      </c>
      <c r="B14">
        <v>101</v>
      </c>
      <c r="C14" t="s">
        <v>23</v>
      </c>
      <c r="D14">
        <v>25</v>
      </c>
      <c r="E14" s="4">
        <v>2500</v>
      </c>
    </row>
    <row r="15" spans="1:8" x14ac:dyDescent="0.3">
      <c r="A15" s="1">
        <v>44967</v>
      </c>
      <c r="B15">
        <v>102</v>
      </c>
      <c r="C15" t="s">
        <v>24</v>
      </c>
      <c r="D15">
        <v>15</v>
      </c>
      <c r="E15" s="4">
        <v>1500</v>
      </c>
    </row>
    <row r="16" spans="1:8" x14ac:dyDescent="0.3">
      <c r="A16" s="1">
        <v>45000</v>
      </c>
      <c r="B16">
        <v>103</v>
      </c>
      <c r="C16" t="s">
        <v>25</v>
      </c>
      <c r="D16">
        <v>30</v>
      </c>
      <c r="E16" s="4">
        <v>3000</v>
      </c>
      <c r="H16" s="4"/>
    </row>
    <row r="17" spans="1:5" x14ac:dyDescent="0.3">
      <c r="A17" s="1">
        <v>45036</v>
      </c>
      <c r="B17">
        <v>104</v>
      </c>
      <c r="C17" t="s">
        <v>23</v>
      </c>
      <c r="D17">
        <v>20</v>
      </c>
      <c r="E17" s="4">
        <v>2000</v>
      </c>
    </row>
    <row r="18" spans="1:5" x14ac:dyDescent="0.3">
      <c r="A18" s="1">
        <v>45071</v>
      </c>
      <c r="B18">
        <v>105</v>
      </c>
      <c r="C18" t="s">
        <v>24</v>
      </c>
      <c r="D18">
        <v>10</v>
      </c>
      <c r="E18" s="4">
        <v>1000</v>
      </c>
    </row>
    <row r="19" spans="1:5" x14ac:dyDescent="0.3">
      <c r="A19" s="1">
        <v>45107</v>
      </c>
      <c r="B19">
        <v>106</v>
      </c>
      <c r="C19" t="s">
        <v>25</v>
      </c>
      <c r="D19">
        <v>25</v>
      </c>
      <c r="E19" s="4">
        <v>2500</v>
      </c>
    </row>
    <row r="20" spans="1:5" x14ac:dyDescent="0.3">
      <c r="A20" s="1">
        <v>45112</v>
      </c>
      <c r="B20">
        <v>107</v>
      </c>
      <c r="C20" t="s">
        <v>23</v>
      </c>
      <c r="D20">
        <v>30</v>
      </c>
      <c r="E20" s="4">
        <v>3000</v>
      </c>
    </row>
    <row r="21" spans="1:5" x14ac:dyDescent="0.3">
      <c r="A21" s="1">
        <v>45148</v>
      </c>
      <c r="B21">
        <v>108</v>
      </c>
      <c r="C21" t="s">
        <v>24</v>
      </c>
      <c r="D21">
        <v>20</v>
      </c>
      <c r="E21" s="4">
        <v>2000</v>
      </c>
    </row>
    <row r="22" spans="1:5" x14ac:dyDescent="0.3">
      <c r="A22" s="1">
        <v>45184</v>
      </c>
      <c r="B22">
        <v>109</v>
      </c>
      <c r="C22" t="s">
        <v>25</v>
      </c>
      <c r="D22">
        <v>15</v>
      </c>
      <c r="E22" s="4">
        <v>1500</v>
      </c>
    </row>
    <row r="23" spans="1:5" x14ac:dyDescent="0.3">
      <c r="A23" s="1">
        <v>45219</v>
      </c>
      <c r="B23">
        <v>110</v>
      </c>
      <c r="C23" t="s">
        <v>23</v>
      </c>
      <c r="D23">
        <v>10</v>
      </c>
      <c r="E23" s="4">
        <v>1000</v>
      </c>
    </row>
    <row r="24" spans="1:5" x14ac:dyDescent="0.3">
      <c r="A24" s="1">
        <v>45255</v>
      </c>
      <c r="B24">
        <v>111</v>
      </c>
      <c r="C24" t="s">
        <v>24</v>
      </c>
      <c r="D24">
        <v>30</v>
      </c>
      <c r="E24" s="4">
        <v>3000</v>
      </c>
    </row>
    <row r="25" spans="1:5" x14ac:dyDescent="0.3">
      <c r="A25" s="1">
        <v>45290</v>
      </c>
      <c r="B25">
        <v>112</v>
      </c>
      <c r="C25" t="s">
        <v>25</v>
      </c>
      <c r="D25">
        <v>20</v>
      </c>
      <c r="E25" s="4">
        <v>2000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6ADD6-A560-4F59-B929-B3F5E36A37EB}">
  <dimension ref="A1:F14"/>
  <sheetViews>
    <sheetView workbookViewId="0">
      <selection activeCell="F14" sqref="F14"/>
    </sheetView>
  </sheetViews>
  <sheetFormatPr defaultRowHeight="14.4" x14ac:dyDescent="0.3"/>
  <cols>
    <col min="1" max="1" width="12.109375" bestFit="1" customWidth="1"/>
    <col min="2" max="2" width="15.44140625" bestFit="1" customWidth="1"/>
    <col min="3" max="3" width="14.21875" bestFit="1" customWidth="1"/>
    <col min="4" max="4" width="12.6640625" bestFit="1" customWidth="1"/>
    <col min="5" max="5" width="17.21875" bestFit="1" customWidth="1"/>
    <col min="6" max="6" width="10" bestFit="1" customWidth="1"/>
  </cols>
  <sheetData>
    <row r="1" spans="1:6" x14ac:dyDescent="0.3">
      <c r="A1" t="s">
        <v>0</v>
      </c>
      <c r="B1" t="s">
        <v>1</v>
      </c>
      <c r="C1" t="s">
        <v>2</v>
      </c>
      <c r="D1" t="s">
        <v>3</v>
      </c>
    </row>
    <row r="2" spans="1:6" x14ac:dyDescent="0.3">
      <c r="A2">
        <v>1001</v>
      </c>
      <c r="B2" t="s">
        <v>4</v>
      </c>
      <c r="C2" t="s">
        <v>5</v>
      </c>
      <c r="D2">
        <v>50</v>
      </c>
    </row>
    <row r="3" spans="1:6" x14ac:dyDescent="0.3">
      <c r="A3">
        <v>1002</v>
      </c>
      <c r="B3" t="s">
        <v>6</v>
      </c>
      <c r="C3" t="s">
        <v>7</v>
      </c>
      <c r="D3">
        <v>40</v>
      </c>
    </row>
    <row r="4" spans="1:6" x14ac:dyDescent="0.3">
      <c r="A4">
        <v>1003</v>
      </c>
      <c r="B4" t="s">
        <v>8</v>
      </c>
      <c r="C4" t="s">
        <v>9</v>
      </c>
      <c r="D4">
        <v>30</v>
      </c>
    </row>
    <row r="5" spans="1:6" x14ac:dyDescent="0.3">
      <c r="A5">
        <v>1004</v>
      </c>
      <c r="B5" t="s">
        <v>10</v>
      </c>
      <c r="C5" t="s">
        <v>11</v>
      </c>
      <c r="D5">
        <v>20</v>
      </c>
    </row>
    <row r="6" spans="1:6" x14ac:dyDescent="0.3">
      <c r="A6">
        <v>1005</v>
      </c>
      <c r="B6" t="s">
        <v>12</v>
      </c>
      <c r="C6" t="s">
        <v>13</v>
      </c>
      <c r="D6">
        <v>60</v>
      </c>
    </row>
    <row r="7" spans="1:6" x14ac:dyDescent="0.3">
      <c r="A7">
        <v>1006</v>
      </c>
      <c r="B7" t="s">
        <v>14</v>
      </c>
      <c r="C7" t="s">
        <v>5</v>
      </c>
      <c r="D7">
        <v>50</v>
      </c>
    </row>
    <row r="8" spans="1:6" x14ac:dyDescent="0.3">
      <c r="A8">
        <v>1007</v>
      </c>
      <c r="B8" t="s">
        <v>15</v>
      </c>
      <c r="C8" t="s">
        <v>7</v>
      </c>
      <c r="D8">
        <v>40</v>
      </c>
    </row>
    <row r="9" spans="1:6" x14ac:dyDescent="0.3">
      <c r="A9">
        <v>1008</v>
      </c>
      <c r="B9" t="s">
        <v>16</v>
      </c>
      <c r="C9" t="s">
        <v>9</v>
      </c>
      <c r="D9">
        <v>30</v>
      </c>
    </row>
    <row r="10" spans="1:6" x14ac:dyDescent="0.3">
      <c r="A10">
        <v>1009</v>
      </c>
      <c r="B10" t="s">
        <v>17</v>
      </c>
      <c r="C10" t="s">
        <v>11</v>
      </c>
      <c r="D10">
        <v>20</v>
      </c>
    </row>
    <row r="11" spans="1:6" x14ac:dyDescent="0.3">
      <c r="A11">
        <v>1010</v>
      </c>
      <c r="B11" t="s">
        <v>18</v>
      </c>
      <c r="C11" t="s">
        <v>13</v>
      </c>
      <c r="D11">
        <v>60</v>
      </c>
    </row>
    <row r="13" spans="1:6" x14ac:dyDescent="0.3">
      <c r="E13" t="s">
        <v>102</v>
      </c>
      <c r="F13" s="4" cm="1">
        <f t="array" ref="F13">SUM(sales_data_over_years_PM0310[Sales Amount]*sales_data_over_years_PM0310[Units Sold])</f>
        <v>1160000</v>
      </c>
    </row>
    <row r="14" spans="1:6" x14ac:dyDescent="0.3">
      <c r="E14" t="s">
        <v>103</v>
      </c>
      <c r="F14">
        <f>AVERAGE(inventory_details_data_PM0306[Stock Level])</f>
        <v>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election activeCell="B2" sqref="B2"/>
    </sheetView>
  </sheetViews>
  <sheetFormatPr defaultRowHeight="14.4" x14ac:dyDescent="0.3"/>
  <cols>
    <col min="1" max="1" width="12.77734375" bestFit="1" customWidth="1"/>
    <col min="2" max="2" width="20.5546875" bestFit="1" customWidth="1"/>
  </cols>
  <sheetData>
    <row r="1" spans="1:2" x14ac:dyDescent="0.3">
      <c r="A1" s="7" t="s">
        <v>96</v>
      </c>
    </row>
    <row r="2" spans="1:2" x14ac:dyDescent="0.3">
      <c r="A2" s="6" t="s">
        <v>97</v>
      </c>
      <c r="B2" s="5" t="s">
        <v>100</v>
      </c>
    </row>
    <row r="3" spans="1:2" x14ac:dyDescent="0.3">
      <c r="A3" s="6" t="s">
        <v>98</v>
      </c>
      <c r="B3" s="5" t="s">
        <v>101</v>
      </c>
    </row>
    <row r="4" spans="1:2" x14ac:dyDescent="0.3">
      <c r="A4" s="6" t="s">
        <v>99</v>
      </c>
      <c r="B4" s="5" t="s">
        <v>101</v>
      </c>
    </row>
  </sheetData>
  <hyperlinks>
    <hyperlink ref="B3" location="'Books and Authers'!A1" display="'Books and Authers'!A1" xr:uid="{4ADB3A0C-4526-4F03-8147-9A814B17C23B}"/>
    <hyperlink ref="B4" location="'Books and Authers'!A1" display="'Books and Authers'!A1" xr:uid="{E8D0A60B-E53B-4C21-ADF0-9C40963078BB}"/>
    <hyperlink ref="B2" location="'Sales Data'!A1" display="'Sales Data'!A1" xr:uid="{E10344D6-0214-4651-81AC-64AB6CC89CE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E3CB454-C6FC-4496-91C5-F35A5F1EFC2F}">
  <ds:schemaRefs/>
</ds:datastoreItem>
</file>

<file path=customXml/itemProps2.xml><?xml version="1.0" encoding="utf-8"?>
<ds:datastoreItem xmlns:ds="http://schemas.openxmlformats.org/officeDocument/2006/customXml" ds:itemID="{CDD124C1-2977-455A-8D08-BC209B439288}">
  <ds:schemaRefs/>
</ds:datastoreItem>
</file>

<file path=customXml/itemProps3.xml><?xml version="1.0" encoding="utf-8"?>
<ds:datastoreItem xmlns:ds="http://schemas.openxmlformats.org/officeDocument/2006/customXml" ds:itemID="{3B47A7C3-A2FE-4444-AEC6-1E9064FDFCEF}">
  <ds:schemaRefs/>
</ds:datastoreItem>
</file>

<file path=customXml/itemProps4.xml><?xml version="1.0" encoding="utf-8"?>
<ds:datastoreItem xmlns:ds="http://schemas.openxmlformats.org/officeDocument/2006/customXml" ds:itemID="{7D9B4AAA-56C0-47FD-944F-0D1688CD57F3}">
  <ds:schemaRefs/>
</ds:datastoreItem>
</file>

<file path=customXml/itemProps5.xml><?xml version="1.0" encoding="utf-8"?>
<ds:datastoreItem xmlns:ds="http://schemas.openxmlformats.org/officeDocument/2006/customXml" ds:itemID="{DE41BBC0-05CD-4FD6-89B2-2951C59D2359}">
  <ds:schemaRefs/>
</ds:datastoreItem>
</file>

<file path=customXml/itemProps6.xml><?xml version="1.0" encoding="utf-8"?>
<ds:datastoreItem xmlns:ds="http://schemas.openxmlformats.org/officeDocument/2006/customXml" ds:itemID="{62431A8F-7D15-4B49-8CB3-AA9A9AA10FA6}">
  <ds:schemaRefs/>
</ds:datastoreItem>
</file>

<file path=customXml/itemProps7.xml><?xml version="1.0" encoding="utf-8"?>
<ds:datastoreItem xmlns:ds="http://schemas.openxmlformats.org/officeDocument/2006/customXml" ds:itemID="{A5A30062-738F-419C-8825-A7D6161F10AD}">
  <ds:schemaRefs/>
</ds:datastoreItem>
</file>

<file path=customXml/itemProps8.xml><?xml version="1.0" encoding="utf-8"?>
<ds:datastoreItem xmlns:ds="http://schemas.openxmlformats.org/officeDocument/2006/customXml" ds:itemID="{EBDC3108-49F4-4EF9-91FC-A2A0F201D5AC}">
  <ds:schemaRefs/>
</ds:datastoreItem>
</file>

<file path=customXml/itemProps9.xml><?xml version="1.0" encoding="utf-8"?>
<ds:datastoreItem xmlns:ds="http://schemas.openxmlformats.org/officeDocument/2006/customXml" ds:itemID="{11E5D29F-91CF-47F7-B758-8C45F22EF945}">
  <ds:schemaRefs/>
</ds:datastoreItem>
</file>

<file path=customXml/itemProps10.xml><?xml version="1.0" encoding="utf-8"?>
<ds:datastoreItem xmlns:ds="http://schemas.openxmlformats.org/officeDocument/2006/customXml" ds:itemID="{7F8F3CCD-33E5-4F5F-85C8-E0F0D21B000A}">
  <ds:schemaRefs>
    <ds:schemaRef ds:uri="http://schemas.microsoft.com/DataMashup"/>
  </ds:schemaRefs>
</ds:datastoreItem>
</file>

<file path=customXml/itemProps11.xml><?xml version="1.0" encoding="utf-8"?>
<ds:datastoreItem xmlns:ds="http://schemas.openxmlformats.org/officeDocument/2006/customXml" ds:itemID="{CDA01FE7-D7AF-4A96-A329-A2F7A8650A78}">
  <ds:schemaRefs/>
</ds:datastoreItem>
</file>

<file path=customXml/itemProps12.xml><?xml version="1.0" encoding="utf-8"?>
<ds:datastoreItem xmlns:ds="http://schemas.openxmlformats.org/officeDocument/2006/customXml" ds:itemID="{9E4F63BD-0C32-4F93-AD33-ECFA76FF069B}">
  <ds:schemaRefs/>
</ds:datastoreItem>
</file>

<file path=customXml/itemProps13.xml><?xml version="1.0" encoding="utf-8"?>
<ds:datastoreItem xmlns:ds="http://schemas.openxmlformats.org/officeDocument/2006/customXml" ds:itemID="{81CA759A-DC6E-4A1C-A39A-B06F69ED328B}">
  <ds:schemaRefs/>
</ds:datastoreItem>
</file>

<file path=customXml/itemProps14.xml><?xml version="1.0" encoding="utf-8"?>
<ds:datastoreItem xmlns:ds="http://schemas.openxmlformats.org/officeDocument/2006/customXml" ds:itemID="{BD895039-F73E-4085-BEFE-83A557CCF6F4}">
  <ds:schemaRefs/>
</ds:datastoreItem>
</file>

<file path=customXml/itemProps15.xml><?xml version="1.0" encoding="utf-8"?>
<ds:datastoreItem xmlns:ds="http://schemas.openxmlformats.org/officeDocument/2006/customXml" ds:itemID="{0B91A21E-4964-42BB-877A-77CEC7178277}">
  <ds:schemaRefs/>
</ds:datastoreItem>
</file>

<file path=customXml/itemProps16.xml><?xml version="1.0" encoding="utf-8"?>
<ds:datastoreItem xmlns:ds="http://schemas.openxmlformats.org/officeDocument/2006/customXml" ds:itemID="{F3A563A8-A89A-41DA-AE6F-E3A9F8A546A2}">
  <ds:schemaRefs/>
</ds:datastoreItem>
</file>

<file path=customXml/itemProps17.xml><?xml version="1.0" encoding="utf-8"?>
<ds:datastoreItem xmlns:ds="http://schemas.openxmlformats.org/officeDocument/2006/customXml" ds:itemID="{B163EE36-7FDE-4EBA-B194-BE475BC7C7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Merged Data</vt:lpstr>
      <vt:lpstr>Sales Data</vt:lpstr>
      <vt:lpstr>Books and Authers</vt:lpstr>
      <vt:lpstr>sales_data_over_years PM0310</vt:lpstr>
      <vt:lpstr>inventory_details_data PM0306</vt:lpstr>
      <vt:lpstr>Hyperlinks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Janay Wesso</dc:creator>
  <cp:lastModifiedBy>Janay Wesso</cp:lastModifiedBy>
  <dcterms:created xsi:type="dcterms:W3CDTF">2015-06-05T18:17:20Z</dcterms:created>
  <dcterms:modified xsi:type="dcterms:W3CDTF">2025-08-15T16:29:51Z</dcterms:modified>
</cp:coreProperties>
</file>