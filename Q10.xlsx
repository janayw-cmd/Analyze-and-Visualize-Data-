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AIE Studies\12 Practicals\3 Analyze and Visualize Data AVDS\Final\"/>
    </mc:Choice>
  </mc:AlternateContent>
  <xr:revisionPtr revIDLastSave="0" documentId="13_ncr:1_{B9FD5F3A-A886-4E43-A80B-212CFC226E42}" xr6:coauthVersionLast="47" xr6:coauthVersionMax="47" xr10:uidLastSave="{00000000-0000-0000-0000-000000000000}"/>
  <bookViews>
    <workbookView xWindow="28680" yWindow="-120" windowWidth="29040" windowHeight="15720" xr2:uid="{00000000-000D-0000-FFFF-FFFF00000000}"/>
  </bookViews>
  <sheets>
    <sheet name="Sheet2" sheetId="3" r:id="rId1"/>
    <sheet name="Sheet3" sheetId="4" r:id="rId2"/>
    <sheet name="Sheet5" sheetId="6" r:id="rId3"/>
    <sheet name="Sheet6" sheetId="7" r:id="rId4"/>
    <sheet name="sales_data_over_years PM0310" sheetId="2" r:id="rId5"/>
  </sheets>
  <definedNames>
    <definedName name="_xlcn.WorksheetConnection_Q10.xlsxsales_data_over_years_PM03101" hidden="1">sales_data_over_years_PM0310[]</definedName>
    <definedName name="ExternalData_1" localSheetId="4" hidden="1">'sales_data_over_years PM0310'!$A$1:$E$25</definedName>
    <definedName name="NativeTimeline_Sale_Date">#N/A</definedName>
    <definedName name="Slicer_Product_ID">#N/A</definedName>
    <definedName name="Slicer_Quarters__Sale_Date">#N/A</definedName>
    <definedName name="Slicer_Region">#N/A</definedName>
    <definedName name="Slicer_Region1">#N/A</definedName>
    <definedName name="Slicer_Region2">#N/A</definedName>
    <definedName name="Slicer_Years__Sale_Date">#N/A</definedName>
  </definedNames>
  <calcPr calcId="191029"/>
  <pivotCaches>
    <pivotCache cacheId="53" r:id="rId6"/>
    <pivotCache cacheId="33" r:id="rId7"/>
  </pivotCaches>
  <extLst>
    <ext xmlns:x14="http://schemas.microsoft.com/office/spreadsheetml/2009/9/main" uri="{876F7934-8845-4945-9796-88D515C7AA90}">
      <x14:pivotCaches>
        <pivotCache cacheId="34" r:id="rId8"/>
      </x14:pivotCaches>
    </ex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over_years_PM0310" name="sales_data_over_years_PM0310" connection="WorksheetConnection_Q10.xlsx!sales_data_over_years_PM03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 l="1"/>
  <c r="H25" i="2"/>
  <c r="G25" i="2"/>
  <c r="G24" i="2"/>
  <c r="G23" i="2"/>
  <c r="G22" i="2"/>
  <c r="G21" i="2"/>
  <c r="G20" i="2"/>
  <c r="G19" i="2"/>
  <c r="G18" i="2"/>
  <c r="G17" i="2"/>
  <c r="G16" i="2"/>
  <c r="G15" i="2"/>
  <c r="G14" i="2"/>
  <c r="G13" i="2"/>
  <c r="G12" i="2"/>
  <c r="G11" i="2"/>
  <c r="G10" i="2"/>
  <c r="G9" i="2"/>
  <c r="G8" i="2"/>
  <c r="G7" i="2"/>
  <c r="G6" i="2"/>
  <c r="G5" i="2"/>
  <c r="G4" i="2"/>
  <c r="G3" i="2"/>
  <c r="G2" i="2"/>
  <c r="F25" i="2"/>
  <c r="H24" i="2" s="1"/>
  <c r="F24" i="2"/>
  <c r="H23" i="2" s="1"/>
  <c r="F23" i="2"/>
  <c r="H22" i="2" s="1"/>
  <c r="F22" i="2"/>
  <c r="F21" i="2"/>
  <c r="F20" i="2"/>
  <c r="F19" i="2"/>
  <c r="F18" i="2"/>
  <c r="F17" i="2"/>
  <c r="F16" i="2"/>
  <c r="H15" i="2" s="1"/>
  <c r="F15" i="2"/>
  <c r="H14" i="2" s="1"/>
  <c r="F14" i="2"/>
  <c r="F13" i="2"/>
  <c r="F12" i="2"/>
  <c r="F11" i="2"/>
  <c r="F10" i="2"/>
  <c r="F9" i="2"/>
  <c r="H8" i="2" s="1"/>
  <c r="F8" i="2"/>
  <c r="F7" i="2"/>
  <c r="H6" i="2" s="1"/>
  <c r="F6" i="2"/>
  <c r="F5" i="2"/>
  <c r="F4" i="2"/>
  <c r="F3" i="2"/>
  <c r="F2" i="2"/>
  <c r="A7" i="6"/>
  <c r="A6" i="6"/>
  <c r="A5" i="6"/>
  <c r="A4" i="6"/>
  <c r="C3" i="6"/>
  <c r="C6" i="6" s="1"/>
  <c r="B3" i="6"/>
  <c r="B6" i="6" s="1"/>
  <c r="B7" i="6"/>
  <c r="C7" i="6"/>
  <c r="B5" i="6"/>
  <c r="C5" i="6"/>
  <c r="B4" i="6"/>
  <c r="C4" i="6"/>
  <c r="H16" i="2" l="1"/>
  <c r="H21" i="2"/>
  <c r="H13" i="2"/>
  <c r="H5" i="2"/>
  <c r="H17" i="2"/>
  <c r="H20" i="2"/>
  <c r="H12" i="2"/>
  <c r="H4" i="2"/>
  <c r="H19" i="2"/>
  <c r="H11" i="2"/>
  <c r="H3" i="2"/>
  <c r="H9" i="2"/>
  <c r="H18" i="2"/>
  <c r="H10"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8C6AEC-1D32-4D42-BE5C-AD72C8DFDD58}" keepAlive="1" name="Query - sales_data_over_years PM0310" description="Connection to the 'sales_data_over_years PM0310' query in the workbook." type="5" refreshedVersion="8" background="1" saveData="1">
    <dbPr connection="Provider=Microsoft.Mashup.OleDb.1;Data Source=$Workbook$;Location=&quot;sales_data_over_years PM0310&quot;;Extended Properties=&quot;&quot;" command="SELECT * FROM [sales_data_over_years PM0310]"/>
  </connection>
  <connection id="2" xr16:uid="{28F5AE90-BCB3-49C4-B161-309D432CDA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9C89851-20E5-4850-BFA8-8E57E9C83BEF}" name="WorksheetConnection_Q10.xlsx!sales_data_over_years_PM0310" type="102" refreshedVersion="8" minRefreshableVersion="5">
    <extLst>
      <ext xmlns:x15="http://schemas.microsoft.com/office/spreadsheetml/2010/11/main" uri="{DE250136-89BD-433C-8126-D09CA5730AF9}">
        <x15:connection id="sales_data_over_years_PM0310">
          <x15:rangePr sourceName="_xlcn.WorksheetConnection_Q10.xlsxsales_data_over_years_PM0310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sales_data_over_years_PM0310].[Region].[All]"/>
    <s v="[sales_data_over_years_PM0310].[Region].&amp;[North America]"/>
    <s v="[sales_data_over_years_PM0310].[Region].&amp;[Europe]"/>
    <s v="[sales_data_over_years_PM0310].[Region].&amp;[Asia]"/>
    <s v="[Measures].[Sum of Sales Amount]"/>
    <s v="[Measures].[Sum of Product ID]"/>
  </metadataStrings>
  <mdxMetadata count="14">
    <mdx n="0" f="m">
      <t c="1">
        <n x="1"/>
      </t>
    </mdx>
    <mdx n="0" f="m">
      <t c="1">
        <n x="2"/>
      </t>
    </mdx>
    <mdx n="0" f="m">
      <t c="1">
        <n x="3"/>
      </t>
    </mdx>
    <mdx n="0" f="m">
      <t c="1">
        <n x="4"/>
      </t>
    </mdx>
    <mdx n="0" f="m">
      <t c="1">
        <n x="5"/>
      </t>
    </mdx>
    <mdx n="0" f="m">
      <t c="1">
        <n x="6"/>
      </t>
    </mdx>
    <mdx n="0" f="v">
      <t c="2">
        <n x="4"/>
        <n x="6"/>
      </t>
    </mdx>
    <mdx n="0" f="v">
      <t c="2">
        <n x="4"/>
        <n x="5"/>
      </t>
    </mdx>
    <mdx n="0" f="v">
      <t c="2">
        <n x="3"/>
        <n x="5"/>
      </t>
    </mdx>
    <mdx n="0" f="v">
      <t c="2">
        <n x="2"/>
        <n x="5"/>
      </t>
    </mdx>
    <mdx n="0" f="v">
      <t c="2">
        <n x="1"/>
        <n x="5"/>
      </t>
    </mdx>
    <mdx n="0" f="v">
      <t c="2">
        <n x="3"/>
        <n x="6"/>
      </t>
    </mdx>
    <mdx n="0" f="v">
      <t c="2">
        <n x="2"/>
        <n x="6"/>
      </t>
    </mdx>
    <mdx n="0" f="v">
      <t c="2">
        <n x="1"/>
        <n x="6"/>
      </t>
    </mdx>
  </mdx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<sst xmlns="http://schemas.openxmlformats.org/spreadsheetml/2006/main" count="64" uniqueCount="28">
  <si>
    <t>Sale Date</t>
  </si>
  <si>
    <t>Product ID</t>
  </si>
  <si>
    <t>Region</t>
  </si>
  <si>
    <t>Units Sold</t>
  </si>
  <si>
    <t>Sales Amount</t>
  </si>
  <si>
    <t>North America</t>
  </si>
  <si>
    <t>Europe</t>
  </si>
  <si>
    <t>Asia</t>
  </si>
  <si>
    <t>Total Sales</t>
  </si>
  <si>
    <t>Average Units Sold</t>
  </si>
  <si>
    <t>Sales growth Rate</t>
  </si>
  <si>
    <t>Row Labels</t>
  </si>
  <si>
    <t>Grand Total</t>
  </si>
  <si>
    <t>Jan</t>
  </si>
  <si>
    <t>Feb</t>
  </si>
  <si>
    <t>Mar</t>
  </si>
  <si>
    <t>Apr</t>
  </si>
  <si>
    <t>May</t>
  </si>
  <si>
    <t>Jun</t>
  </si>
  <si>
    <t>Jul</t>
  </si>
  <si>
    <t>Aug</t>
  </si>
  <si>
    <t>Sept</t>
  </si>
  <si>
    <t>Oct</t>
  </si>
  <si>
    <t>Nov</t>
  </si>
  <si>
    <t>Dec</t>
  </si>
  <si>
    <t>Sum of Sales Amount</t>
  </si>
  <si>
    <t>Column Labels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</si>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</sst>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quot;#,##0.00"/>
    <numFmt numFmtId="166" formatCode="&quot;R&quot;#,##0"/>
    <numFmt numFmtId="173"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164" fontId="0" fillId="0" borderId="0" xfId="0" applyNumberFormat="1"/>
    <xf numFmtId="166" fontId="0" fillId="0" borderId="0" xfId="0" applyNumberFormat="1"/>
    <xf numFmtId="9" fontId="0" fillId="0" borderId="0" xfId="0" applyNumberFormat="1"/>
    <xf numFmtId="17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6">
    <dxf>
      <numFmt numFmtId="166" formatCode="&quot;R&quot;#,##0"/>
    </dxf>
    <dxf>
      <numFmt numFmtId="166" formatCode="&quot;R&quot;#,##0"/>
    </dxf>
    <dxf>
      <numFmt numFmtId="166" formatCode="&quot;R&quot;#,##0"/>
    </dxf>
    <dxf>
      <numFmt numFmtId="166" formatCode="&quot;R&quot;#,##0"/>
    </dxf>
    <dxf>
      <numFmt numFmtId="166" formatCode="&quot;R&quot;#,##0"/>
    </dxf>
    <dxf>
      <numFmt numFmtId="166" formatCode="&quot;R&quot;#,##0"/>
    </dxf>
    <dxf>
      <numFmt numFmtId="165" formatCode="&quot;R&quot;#,##0.0"/>
    </dxf>
    <dxf>
      <numFmt numFmtId="164" formatCode="&quot;R&quot;#,##0.00"/>
    </dxf>
    <dxf>
      <numFmt numFmtId="166" formatCode="&quot;R&quot;#,##0"/>
    </dxf>
    <dxf>
      <numFmt numFmtId="166" formatCode="&quot;R&quot;#,##0"/>
    </dxf>
    <dxf>
      <numFmt numFmtId="13" formatCode="0%"/>
    </dxf>
    <dxf>
      <numFmt numFmtId="173" formatCode="0.0"/>
    </dxf>
    <dxf>
      <numFmt numFmtId="166" formatCode="&quot;R&quot;#,##0"/>
    </dxf>
    <dxf>
      <numFmt numFmtId="166" formatCode="&quot;R&quot;#,##0"/>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C4" s="6"/>
        <tr r="B4" s="6"/>
        <tr r="C5" s="6"/>
        <tr r="B5" s="6"/>
        <tr r="C7" s="6"/>
        <tr r="B7" s="6"/>
        <tr r="B6" s="6"/>
        <tr r="B3" s="6"/>
        <tr r="C6" s="6"/>
        <tr r="C3" s="6"/>
        <tr r="A4" s="6"/>
        <tr r="A5" s="6"/>
        <tr r="A6" s="6"/>
        <tr r="A7" s="6"/>
      </tp>
    </main>
  </volType>
</volType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volatileDependencies" Target="volatileDependencies.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1.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[Q10.xlsx]Sheet2!PivotTable1</c:name>
    <c:fmtId val="2"/>
  </c:pivotSource>
  <c:chart>
    <c:title>
      <c:tx>
        <c:rich>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u="sng"/>
              <a:t>Total Sales Over Time</a:t>
            </a:r>
          </a:p>
        </c:rich>
      </c:tx>
      <c:overlay val="0"/>
      <c:spPr>
        <a:noFill/>
        <a:ln>
          <a:noFill/>
        </a:ln>
        <a:effectLst/>
      </c:spPr>
      <c:txPr>
        <a:bodyPr rot="0" spcFirstLastPara="1" vertOverflow="ellipsis" vert="horz" wrap="square" anchor="ctr" anchorCtr="1"/>
        <a:lstStyle/>
        <a:p>
          <a:pPr>
            <a:defRPr sz="20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Sheet2!$B$4:$B$16</c:f>
              <c:numCache>
                <c:formatCode>"R"#,##0</c:formatCode>
                <c:ptCount val="12"/>
                <c:pt idx="0">
                  <c:v>4500</c:v>
                </c:pt>
                <c:pt idx="1">
                  <c:v>4500</c:v>
                </c:pt>
                <c:pt idx="2">
                  <c:v>5500</c:v>
                </c:pt>
                <c:pt idx="3">
                  <c:v>3000</c:v>
                </c:pt>
                <c:pt idx="4">
                  <c:v>4000</c:v>
                </c:pt>
                <c:pt idx="5">
                  <c:v>4500</c:v>
                </c:pt>
                <c:pt idx="6">
                  <c:v>4500</c:v>
                </c:pt>
                <c:pt idx="7">
                  <c:v>4500</c:v>
                </c:pt>
                <c:pt idx="8">
                  <c:v>2500</c:v>
                </c:pt>
                <c:pt idx="9">
                  <c:v>4000</c:v>
                </c:pt>
                <c:pt idx="10">
                  <c:v>5000</c:v>
                </c:pt>
                <c:pt idx="11">
                  <c:v>3500</c:v>
                </c:pt>
              </c:numCache>
            </c:numRef>
          </c:val>
          <c:smooth val="0"/>
          <c:extLst>
            <c:ext xmlns:c16="http://schemas.microsoft.com/office/drawing/2014/chart" uri="{C3380CC4-5D6E-409C-BE32-E72D297353CC}">
              <c16:uniqueId val="{00000000-F29C-4A0F-8668-90AA36FCF198}"/>
            </c:ext>
          </c:extLst>
        </c:ser>
        <c:dLbls>
          <c:showLegendKey val="0"/>
          <c:showVal val="0"/>
          <c:showCatName val="0"/>
          <c:showSerName val="0"/>
          <c:showPercent val="0"/>
          <c:showBubbleSize val="0"/>
        </c:dLbls>
        <c:marker val="1"/>
        <c:smooth val="0"/>
        <c:axId val="1359676863"/>
        <c:axId val="1359677343"/>
      </c:lineChart>
      <c:catAx>
        <c:axId val="1359676863"/>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US" sz="1200" u="sng"/>
                  <a:t>Date</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77343"/>
        <c:crosses val="autoZero"/>
        <c:auto val="1"/>
        <c:lblAlgn val="ctr"/>
        <c:lblOffset val="100"/>
        <c:noMultiLvlLbl val="0"/>
      </c:catAx>
      <c:valAx>
        <c:axId val="13596773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200" b="1" i="0" u="sng" strike="noStrike" kern="1200" cap="all" baseline="0">
                    <a:solidFill>
                      <a:schemeClr val="lt1">
                        <a:lumMod val="85000"/>
                      </a:schemeClr>
                    </a:solidFill>
                    <a:latin typeface="+mn-lt"/>
                    <a:ea typeface="+mn-ea"/>
                    <a:cs typeface="+mn-cs"/>
                  </a:defRPr>
                </a:pPr>
                <a:r>
                  <a:rPr lang="en-US" sz="1200" u="sng"/>
                  <a:t>Total Sales</a:t>
                </a:r>
              </a:p>
            </c:rich>
          </c:tx>
          <c:overlay val="0"/>
          <c:spPr>
            <a:noFill/>
            <a:ln>
              <a:noFill/>
            </a:ln>
            <a:effectLst/>
          </c:spPr>
          <c:txPr>
            <a:bodyPr rot="-5400000" spcFirstLastPara="1" vertOverflow="ellipsis" vert="horz" wrap="square" anchor="ctr" anchorCtr="1"/>
            <a:lstStyle/>
            <a:p>
              <a:pPr>
                <a:defRPr sz="1200" b="1" i="0" u="sng" strike="noStrike" kern="1200" cap="all" baseline="0">
                  <a:solidFill>
                    <a:schemeClr val="lt1">
                      <a:lumMod val="85000"/>
                    </a:schemeClr>
                  </a:solidFill>
                  <a:latin typeface="+mn-lt"/>
                  <a:ea typeface="+mn-ea"/>
                  <a:cs typeface="+mn-cs"/>
                </a:defRPr>
              </a:pPr>
              <a:endParaRPr lang="en-US"/>
            </a:p>
          </c:txPr>
        </c:title>
        <c:numFmt formatCode="&quot;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67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[Q10.xlsx]Sheet3!PivotTable2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Sales Amount by Region and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101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Sheet3!$A$5:$A$8</c:f>
              <c:strCache>
                <c:ptCount val="3"/>
                <c:pt idx="0">
                  <c:v>Asia</c:v>
                </c:pt>
                <c:pt idx="1">
                  <c:v>Europe</c:v>
                </c:pt>
                <c:pt idx="2">
                  <c:v>North America</c:v>
                </c:pt>
              </c:strCache>
            </c:strRef>
          </c:cat>
          <c:val>
            <c:numRef>
              <c:f>Sheet3!$B$5:$B$8</c:f>
              <c:numCache>
                <c:formatCode>"R"#,##0</c:formatCode>
                <c:ptCount val="3"/>
                <c:pt idx="2">
                  <c:v>4500</c:v>
                </c:pt>
              </c:numCache>
            </c:numRef>
          </c:val>
          <c:extLst>
            <c:ext xmlns:c16="http://schemas.microsoft.com/office/drawing/2014/chart" uri="{C3380CC4-5D6E-409C-BE32-E72D297353CC}">
              <c16:uniqueId val="{00000000-6020-45ED-A20C-7F7FB0E0B97C}"/>
            </c:ext>
          </c:extLst>
        </c:ser>
        <c:ser>
          <c:idx val="1"/>
          <c:order val="1"/>
          <c:tx>
            <c:strRef>
              <c:f>Sheet3!$C$3:$C$4</c:f>
              <c:strCache>
                <c:ptCount val="1"/>
                <c:pt idx="0">
                  <c:v>102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Sheet3!$A$5:$A$8</c:f>
              <c:strCache>
                <c:ptCount val="3"/>
                <c:pt idx="0">
                  <c:v>Asia</c:v>
                </c:pt>
                <c:pt idx="1">
                  <c:v>Europe</c:v>
                </c:pt>
                <c:pt idx="2">
                  <c:v>North America</c:v>
                </c:pt>
              </c:strCache>
            </c:strRef>
          </c:cat>
          <c:val>
            <c:numRef>
              <c:f>Sheet3!$C$5:$C$8</c:f>
              <c:numCache>
                <c:formatCode>"R"#,##0</c:formatCode>
                <c:ptCount val="3"/>
                <c:pt idx="1">
                  <c:v>4500</c:v>
                </c:pt>
              </c:numCache>
            </c:numRef>
          </c:val>
          <c:extLst>
            <c:ext xmlns:c16="http://schemas.microsoft.com/office/drawing/2014/chart" uri="{C3380CC4-5D6E-409C-BE32-E72D297353CC}">
              <c16:uniqueId val="{0000000D-6020-45ED-A20C-7F7FB0E0B97C}"/>
            </c:ext>
          </c:extLst>
        </c:ser>
        <c:ser>
          <c:idx val="2"/>
          <c:order val="2"/>
          <c:tx>
            <c:strRef>
              <c:f>Sheet3!$D$3:$D$4</c:f>
              <c:strCache>
                <c:ptCount val="1"/>
                <c:pt idx="0">
                  <c:v>103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Sheet3!$A$5:$A$8</c:f>
              <c:strCache>
                <c:ptCount val="3"/>
                <c:pt idx="0">
                  <c:v>Asia</c:v>
                </c:pt>
                <c:pt idx="1">
                  <c:v>Europe</c:v>
                </c:pt>
                <c:pt idx="2">
                  <c:v>North America</c:v>
                </c:pt>
              </c:strCache>
            </c:strRef>
          </c:cat>
          <c:val>
            <c:numRef>
              <c:f>Sheet3!$D$5:$D$8</c:f>
              <c:numCache>
                <c:formatCode>"R"#,##0</c:formatCode>
                <c:ptCount val="3"/>
                <c:pt idx="0">
                  <c:v>5500</c:v>
                </c:pt>
              </c:numCache>
            </c:numRef>
          </c:val>
          <c:extLst>
            <c:ext xmlns:c16="http://schemas.microsoft.com/office/drawing/2014/chart" uri="{C3380CC4-5D6E-409C-BE32-E72D297353CC}">
              <c16:uniqueId val="{0000000E-6020-45ED-A20C-7F7FB0E0B97C}"/>
            </c:ext>
          </c:extLst>
        </c:ser>
        <c:ser>
          <c:idx val="3"/>
          <c:order val="3"/>
          <c:tx>
            <c:strRef>
              <c:f>Sheet3!$E$3:$E$4</c:f>
              <c:strCache>
                <c:ptCount val="1"/>
                <c:pt idx="0">
                  <c:v>104</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Sheet3!$A$5:$A$8</c:f>
              <c:strCache>
                <c:ptCount val="3"/>
                <c:pt idx="0">
                  <c:v>Asia</c:v>
                </c:pt>
                <c:pt idx="1">
                  <c:v>Europe</c:v>
                </c:pt>
                <c:pt idx="2">
                  <c:v>North America</c:v>
                </c:pt>
              </c:strCache>
            </c:strRef>
          </c:cat>
          <c:val>
            <c:numRef>
              <c:f>Sheet3!$E$5:$E$8</c:f>
              <c:numCache>
                <c:formatCode>"R"#,##0</c:formatCode>
                <c:ptCount val="3"/>
                <c:pt idx="2">
                  <c:v>3000</c:v>
                </c:pt>
              </c:numCache>
            </c:numRef>
          </c:val>
          <c:extLst>
            <c:ext xmlns:c16="http://schemas.microsoft.com/office/drawing/2014/chart" uri="{C3380CC4-5D6E-409C-BE32-E72D297353CC}">
              <c16:uniqueId val="{0000000F-6020-45ED-A20C-7F7FB0E0B97C}"/>
            </c:ext>
          </c:extLst>
        </c:ser>
        <c:ser>
          <c:idx val="4"/>
          <c:order val="4"/>
          <c:tx>
            <c:strRef>
              <c:f>Sheet3!$F$3:$F$4</c:f>
              <c:strCache>
                <c:ptCount val="1"/>
                <c:pt idx="0">
                  <c:v>105</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Sheet3!$A$5:$A$8</c:f>
              <c:strCache>
                <c:ptCount val="3"/>
                <c:pt idx="0">
                  <c:v>Asia</c:v>
                </c:pt>
                <c:pt idx="1">
                  <c:v>Europe</c:v>
                </c:pt>
                <c:pt idx="2">
                  <c:v>North America</c:v>
                </c:pt>
              </c:strCache>
            </c:strRef>
          </c:cat>
          <c:val>
            <c:numRef>
              <c:f>Sheet3!$F$5:$F$8</c:f>
              <c:numCache>
                <c:formatCode>"R"#,##0</c:formatCode>
                <c:ptCount val="3"/>
                <c:pt idx="1">
                  <c:v>4000</c:v>
                </c:pt>
              </c:numCache>
            </c:numRef>
          </c:val>
          <c:extLst>
            <c:ext xmlns:c16="http://schemas.microsoft.com/office/drawing/2014/chart" uri="{C3380CC4-5D6E-409C-BE32-E72D297353CC}">
              <c16:uniqueId val="{00000010-6020-45ED-A20C-7F7FB0E0B97C}"/>
            </c:ext>
          </c:extLst>
        </c:ser>
        <c:ser>
          <c:idx val="5"/>
          <c:order val="5"/>
          <c:tx>
            <c:strRef>
              <c:f>Sheet3!$G$3:$G$4</c:f>
              <c:strCache>
                <c:ptCount val="1"/>
                <c:pt idx="0">
                  <c:v>106</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Sheet3!$A$5:$A$8</c:f>
              <c:strCache>
                <c:ptCount val="3"/>
                <c:pt idx="0">
                  <c:v>Asia</c:v>
                </c:pt>
                <c:pt idx="1">
                  <c:v>Europe</c:v>
                </c:pt>
                <c:pt idx="2">
                  <c:v>North America</c:v>
                </c:pt>
              </c:strCache>
            </c:strRef>
          </c:cat>
          <c:val>
            <c:numRef>
              <c:f>Sheet3!$G$5:$G$8</c:f>
              <c:numCache>
                <c:formatCode>"R"#,##0</c:formatCode>
                <c:ptCount val="3"/>
                <c:pt idx="0">
                  <c:v>4500</c:v>
                </c:pt>
              </c:numCache>
            </c:numRef>
          </c:val>
          <c:extLst>
            <c:ext xmlns:c16="http://schemas.microsoft.com/office/drawing/2014/chart" uri="{C3380CC4-5D6E-409C-BE32-E72D297353CC}">
              <c16:uniqueId val="{00000011-6020-45ED-A20C-7F7FB0E0B97C}"/>
            </c:ext>
          </c:extLst>
        </c:ser>
        <c:ser>
          <c:idx val="6"/>
          <c:order val="6"/>
          <c:tx>
            <c:strRef>
              <c:f>Sheet3!$H$3:$H$4</c:f>
              <c:strCache>
                <c:ptCount val="1"/>
                <c:pt idx="0">
                  <c:v>107</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Sheet3!$A$5:$A$8</c:f>
              <c:strCache>
                <c:ptCount val="3"/>
                <c:pt idx="0">
                  <c:v>Asia</c:v>
                </c:pt>
                <c:pt idx="1">
                  <c:v>Europe</c:v>
                </c:pt>
                <c:pt idx="2">
                  <c:v>North America</c:v>
                </c:pt>
              </c:strCache>
            </c:strRef>
          </c:cat>
          <c:val>
            <c:numRef>
              <c:f>Sheet3!$H$5:$H$8</c:f>
              <c:numCache>
                <c:formatCode>"R"#,##0</c:formatCode>
                <c:ptCount val="3"/>
                <c:pt idx="2">
                  <c:v>4500</c:v>
                </c:pt>
              </c:numCache>
            </c:numRef>
          </c:val>
          <c:extLst>
            <c:ext xmlns:c16="http://schemas.microsoft.com/office/drawing/2014/chart" uri="{C3380CC4-5D6E-409C-BE32-E72D297353CC}">
              <c16:uniqueId val="{00000012-6020-45ED-A20C-7F7FB0E0B97C}"/>
            </c:ext>
          </c:extLst>
        </c:ser>
        <c:ser>
          <c:idx val="7"/>
          <c:order val="7"/>
          <c:tx>
            <c:strRef>
              <c:f>Sheet3!$I$3:$I$4</c:f>
              <c:strCache>
                <c:ptCount val="1"/>
                <c:pt idx="0">
                  <c:v>108</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Sheet3!$A$5:$A$8</c:f>
              <c:strCache>
                <c:ptCount val="3"/>
                <c:pt idx="0">
                  <c:v>Asia</c:v>
                </c:pt>
                <c:pt idx="1">
                  <c:v>Europe</c:v>
                </c:pt>
                <c:pt idx="2">
                  <c:v>North America</c:v>
                </c:pt>
              </c:strCache>
            </c:strRef>
          </c:cat>
          <c:val>
            <c:numRef>
              <c:f>Sheet3!$I$5:$I$8</c:f>
              <c:numCache>
                <c:formatCode>"R"#,##0</c:formatCode>
                <c:ptCount val="3"/>
                <c:pt idx="1">
                  <c:v>4500</c:v>
                </c:pt>
              </c:numCache>
            </c:numRef>
          </c:val>
          <c:extLst>
            <c:ext xmlns:c16="http://schemas.microsoft.com/office/drawing/2014/chart" uri="{C3380CC4-5D6E-409C-BE32-E72D297353CC}">
              <c16:uniqueId val="{00000013-6020-45ED-A20C-7F7FB0E0B97C}"/>
            </c:ext>
          </c:extLst>
        </c:ser>
        <c:ser>
          <c:idx val="8"/>
          <c:order val="8"/>
          <c:tx>
            <c:strRef>
              <c:f>Sheet3!$J$3:$J$4</c:f>
              <c:strCache>
                <c:ptCount val="1"/>
                <c:pt idx="0">
                  <c:v>109</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Sheet3!$A$5:$A$8</c:f>
              <c:strCache>
                <c:ptCount val="3"/>
                <c:pt idx="0">
                  <c:v>Asia</c:v>
                </c:pt>
                <c:pt idx="1">
                  <c:v>Europe</c:v>
                </c:pt>
                <c:pt idx="2">
                  <c:v>North America</c:v>
                </c:pt>
              </c:strCache>
            </c:strRef>
          </c:cat>
          <c:val>
            <c:numRef>
              <c:f>Sheet3!$J$5:$J$8</c:f>
              <c:numCache>
                <c:formatCode>"R"#,##0</c:formatCode>
                <c:ptCount val="3"/>
                <c:pt idx="0">
                  <c:v>2500</c:v>
                </c:pt>
              </c:numCache>
            </c:numRef>
          </c:val>
          <c:extLst>
            <c:ext xmlns:c16="http://schemas.microsoft.com/office/drawing/2014/chart" uri="{C3380CC4-5D6E-409C-BE32-E72D297353CC}">
              <c16:uniqueId val="{00000014-6020-45ED-A20C-7F7FB0E0B97C}"/>
            </c:ext>
          </c:extLst>
        </c:ser>
        <c:ser>
          <c:idx val="9"/>
          <c:order val="9"/>
          <c:tx>
            <c:strRef>
              <c:f>Sheet3!$K$3:$K$4</c:f>
              <c:strCache>
                <c:ptCount val="1"/>
                <c:pt idx="0">
                  <c:v>110</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Sheet3!$A$5:$A$8</c:f>
              <c:strCache>
                <c:ptCount val="3"/>
                <c:pt idx="0">
                  <c:v>Asia</c:v>
                </c:pt>
                <c:pt idx="1">
                  <c:v>Europe</c:v>
                </c:pt>
                <c:pt idx="2">
                  <c:v>North America</c:v>
                </c:pt>
              </c:strCache>
            </c:strRef>
          </c:cat>
          <c:val>
            <c:numRef>
              <c:f>Sheet3!$K$5:$K$8</c:f>
              <c:numCache>
                <c:formatCode>"R"#,##0</c:formatCode>
                <c:ptCount val="3"/>
                <c:pt idx="2">
                  <c:v>4000</c:v>
                </c:pt>
              </c:numCache>
            </c:numRef>
          </c:val>
          <c:extLst>
            <c:ext xmlns:c16="http://schemas.microsoft.com/office/drawing/2014/chart" uri="{C3380CC4-5D6E-409C-BE32-E72D297353CC}">
              <c16:uniqueId val="{00000015-6020-45ED-A20C-7F7FB0E0B97C}"/>
            </c:ext>
          </c:extLst>
        </c:ser>
        <c:ser>
          <c:idx val="10"/>
          <c:order val="10"/>
          <c:tx>
            <c:strRef>
              <c:f>Sheet3!$L$3:$L$4</c:f>
              <c:strCache>
                <c:ptCount val="1"/>
                <c:pt idx="0">
                  <c:v>111</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Sheet3!$A$5:$A$8</c:f>
              <c:strCache>
                <c:ptCount val="3"/>
                <c:pt idx="0">
                  <c:v>Asia</c:v>
                </c:pt>
                <c:pt idx="1">
                  <c:v>Europe</c:v>
                </c:pt>
                <c:pt idx="2">
                  <c:v>North America</c:v>
                </c:pt>
              </c:strCache>
            </c:strRef>
          </c:cat>
          <c:val>
            <c:numRef>
              <c:f>Sheet3!$L$5:$L$8</c:f>
              <c:numCache>
                <c:formatCode>"R"#,##0</c:formatCode>
                <c:ptCount val="3"/>
                <c:pt idx="1">
                  <c:v>5000</c:v>
                </c:pt>
              </c:numCache>
            </c:numRef>
          </c:val>
          <c:extLst>
            <c:ext xmlns:c16="http://schemas.microsoft.com/office/drawing/2014/chart" uri="{C3380CC4-5D6E-409C-BE32-E72D297353CC}">
              <c16:uniqueId val="{00000016-6020-45ED-A20C-7F7FB0E0B97C}"/>
            </c:ext>
          </c:extLst>
        </c:ser>
        <c:ser>
          <c:idx val="11"/>
          <c:order val="11"/>
          <c:tx>
            <c:strRef>
              <c:f>Sheet3!$M$3:$M$4</c:f>
              <c:strCache>
                <c:ptCount val="1"/>
                <c:pt idx="0">
                  <c:v>112</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Sheet3!$A$5:$A$8</c:f>
              <c:strCache>
                <c:ptCount val="3"/>
                <c:pt idx="0">
                  <c:v>Asia</c:v>
                </c:pt>
                <c:pt idx="1">
                  <c:v>Europe</c:v>
                </c:pt>
                <c:pt idx="2">
                  <c:v>North America</c:v>
                </c:pt>
              </c:strCache>
            </c:strRef>
          </c:cat>
          <c:val>
            <c:numRef>
              <c:f>Sheet3!$M$5:$M$8</c:f>
              <c:numCache>
                <c:formatCode>"R"#,##0</c:formatCode>
                <c:ptCount val="3"/>
                <c:pt idx="0">
                  <c:v>3500</c:v>
                </c:pt>
              </c:numCache>
            </c:numRef>
          </c:val>
          <c:extLst>
            <c:ext xmlns:c16="http://schemas.microsoft.com/office/drawing/2014/chart" uri="{C3380CC4-5D6E-409C-BE32-E72D297353CC}">
              <c16:uniqueId val="{00000017-6020-45ED-A20C-7F7FB0E0B97C}"/>
            </c:ext>
          </c:extLst>
        </c:ser>
        <c:dLbls>
          <c:showLegendKey val="0"/>
          <c:showVal val="0"/>
          <c:showCatName val="0"/>
          <c:showSerName val="0"/>
          <c:showPercent val="0"/>
          <c:showBubbleSize val="0"/>
        </c:dLbls>
        <c:gapWidth val="315"/>
        <c:overlap val="-40"/>
        <c:axId val="1359704223"/>
        <c:axId val="1359695103"/>
      </c:barChart>
      <c:catAx>
        <c:axId val="1359704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695103"/>
        <c:crosses val="autoZero"/>
        <c:auto val="1"/>
        <c:lblAlgn val="ctr"/>
        <c:lblOffset val="100"/>
        <c:noMultiLvlLbl val="0"/>
      </c:catAx>
      <c:valAx>
        <c:axId val="1359695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 Amount </a:t>
                </a:r>
              </a:p>
            </c:rich>
          </c:tx>
          <c:layout>
            <c:manualLayout>
              <c:xMode val="edge"/>
              <c:yMode val="edge"/>
              <c:x val="1.6035277610743637E-2"/>
              <c:y val="0.3666956128754774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70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u="sng"/>
              <a:t>Sales Trends by Product</a:t>
            </a: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Sheet5!$A$4</c:f>
              <c:strCache>
                <c:ptCount val="1"/>
                <c:pt idx="0">
                  <c:v>Asia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Sheet5!$B$3:$C$3</c:f>
              <c:strCache>
                <c:ptCount val="2"/>
                <c:pt idx="0">
                  <c:v>Sum of Product ID</c:v>
                </c:pt>
                <c:pt idx="1">
                  <c:v>Sum of Sales Amount</c:v>
                </c:pt>
              </c:strCache>
            </c:strRef>
          </c:cat>
          <c:val>
            <c:numRef>
              <c:f>Sheet5!$B$4:$C$4</c:f>
              <c:numCache>
                <c:formatCode>"R"#,##0</c:formatCode>
                <c:ptCount val="2"/>
                <c:pt idx="0" formatCode="General">
                  <c:v>860</c:v>
                </c:pt>
                <c:pt idx="1">
                  <c:v>16000</c:v>
                </c:pt>
              </c:numCache>
            </c:numRef>
          </c:val>
          <c:smooth val="0"/>
          <c:extLst>
            <c:ext xmlns:c16="http://schemas.microsoft.com/office/drawing/2014/chart" uri="{C3380CC4-5D6E-409C-BE32-E72D297353CC}">
              <c16:uniqueId val="{00000000-9E69-4164-8459-7E94567DAB68}"/>
            </c:ext>
          </c:extLst>
        </c:ser>
        <c:ser>
          <c:idx val="1"/>
          <c:order val="1"/>
          <c:tx>
            <c:strRef>
              <c:f>Sheet5!$A$5</c:f>
              <c:strCache>
                <c:ptCount val="1"/>
                <c:pt idx="0">
                  <c:v>Europe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Sheet5!$B$3:$C$3</c:f>
              <c:strCache>
                <c:ptCount val="2"/>
                <c:pt idx="0">
                  <c:v>Sum of Product ID</c:v>
                </c:pt>
                <c:pt idx="1">
                  <c:v>Sum of Sales Amount</c:v>
                </c:pt>
              </c:strCache>
            </c:strRef>
          </c:cat>
          <c:val>
            <c:numRef>
              <c:f>Sheet5!$B$5:$C$5</c:f>
              <c:numCache>
                <c:formatCode>"R"#,##0</c:formatCode>
                <c:ptCount val="2"/>
                <c:pt idx="0" formatCode="General">
                  <c:v>852</c:v>
                </c:pt>
                <c:pt idx="1">
                  <c:v>18000</c:v>
                </c:pt>
              </c:numCache>
            </c:numRef>
          </c:val>
          <c:smooth val="0"/>
          <c:extLst>
            <c:ext xmlns:c16="http://schemas.microsoft.com/office/drawing/2014/chart" uri="{C3380CC4-5D6E-409C-BE32-E72D297353CC}">
              <c16:uniqueId val="{00000001-9E69-4164-8459-7E94567DAB68}"/>
            </c:ext>
          </c:extLst>
        </c:ser>
        <c:ser>
          <c:idx val="2"/>
          <c:order val="2"/>
          <c:tx>
            <c:strRef>
              <c:f>Sheet5!$A$6</c:f>
              <c:strCache>
                <c:ptCount val="1"/>
                <c:pt idx="0">
                  <c:v>North America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Sheet5!$B$3:$C$3</c:f>
              <c:strCache>
                <c:ptCount val="2"/>
                <c:pt idx="0">
                  <c:v>Sum of Product ID</c:v>
                </c:pt>
                <c:pt idx="1">
                  <c:v>Sum of Sales Amount</c:v>
                </c:pt>
              </c:strCache>
            </c:strRef>
          </c:cat>
          <c:val>
            <c:numRef>
              <c:f>Sheet5!$B$6:$C$6</c:f>
              <c:numCache>
                <c:formatCode>"R"#,##0</c:formatCode>
                <c:ptCount val="2"/>
                <c:pt idx="0" formatCode="General">
                  <c:v>844</c:v>
                </c:pt>
                <c:pt idx="1">
                  <c:v>16000</c:v>
                </c:pt>
              </c:numCache>
            </c:numRef>
          </c:val>
          <c:smooth val="0"/>
          <c:extLst>
            <c:ext xmlns:c16="http://schemas.microsoft.com/office/drawing/2014/chart" uri="{C3380CC4-5D6E-409C-BE32-E72D297353CC}">
              <c16:uniqueId val="{00000002-9E69-4164-8459-7E94567DAB68}"/>
            </c:ext>
          </c:extLst>
        </c:ser>
        <c:ser>
          <c:idx val="3"/>
          <c:order val="3"/>
          <c:tx>
            <c:strRef>
              <c:f>Sheet5!$A$7</c:f>
              <c:strCache>
                <c:ptCount val="1"/>
                <c:pt idx="0">
                  <c:v>Grand 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Sheet5!$B$3:$C$3</c:f>
              <c:strCache>
                <c:ptCount val="2"/>
                <c:pt idx="0">
                  <c:v>Sum of Product ID</c:v>
                </c:pt>
                <c:pt idx="1">
                  <c:v>Sum of Sales Amount</c:v>
                </c:pt>
              </c:strCache>
            </c:strRef>
          </c:cat>
          <c:val>
            <c:numRef>
              <c:f>Sheet5!$B$7:$C$7</c:f>
              <c:numCache>
                <c:formatCode>"R"#,##0</c:formatCode>
                <c:ptCount val="2"/>
                <c:pt idx="0" formatCode="General">
                  <c:v>2556</c:v>
                </c:pt>
                <c:pt idx="1">
                  <c:v>50000</c:v>
                </c:pt>
              </c:numCache>
            </c:numRef>
          </c:val>
          <c:smooth val="0"/>
          <c:extLst>
            <c:ext xmlns:c16="http://schemas.microsoft.com/office/drawing/2014/chart" uri="{C3380CC4-5D6E-409C-BE32-E72D297353CC}">
              <c16:uniqueId val="{00000003-9E69-4164-8459-7E94567DAB68}"/>
            </c:ext>
          </c:extLst>
        </c:ser>
        <c:dLbls>
          <c:showLegendKey val="0"/>
          <c:showVal val="0"/>
          <c:showCatName val="0"/>
          <c:showSerName val="0"/>
          <c:showPercent val="0"/>
          <c:showBubbleSize val="0"/>
        </c:dLbls>
        <c:smooth val="0"/>
        <c:axId val="1384947519"/>
        <c:axId val="1384932639"/>
      </c:lineChart>
      <c:catAx>
        <c:axId val="1384947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932639"/>
        <c:crosses val="autoZero"/>
        <c:auto val="1"/>
        <c:lblAlgn val="ctr"/>
        <c:lblOffset val="100"/>
        <c:noMultiLvlLbl val="0"/>
      </c:catAx>
      <c:valAx>
        <c:axId val="13849326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sng" strike="noStrike" kern="1200" cap="all" baseline="0">
                    <a:solidFill>
                      <a:schemeClr val="lt1">
                        <a:lumMod val="85000"/>
                      </a:schemeClr>
                    </a:solidFill>
                    <a:latin typeface="+mn-lt"/>
                    <a:ea typeface="+mn-ea"/>
                    <a:cs typeface="+mn-cs"/>
                  </a:defRPr>
                </a:pPr>
                <a:r>
                  <a:rPr lang="en-US" u="sng"/>
                  <a:t>Total Sales</a:t>
                </a:r>
              </a:p>
            </c:rich>
          </c:tx>
          <c:overlay val="0"/>
          <c:spPr>
            <a:noFill/>
            <a:ln>
              <a:noFill/>
            </a:ln>
            <a:effectLst/>
          </c:spPr>
          <c:txPr>
            <a:bodyPr rot="-5400000" spcFirstLastPara="1" vertOverflow="ellipsis" vert="horz" wrap="square" anchor="ctr" anchorCtr="1"/>
            <a:lstStyle/>
            <a:p>
              <a:pPr>
                <a:defRPr sz="900" b="1" i="0" u="sng"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94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[Q10.xlsx]Sheet6!PivotTable11</c:name>
    <c:fmtId val="2"/>
  </c:pivotSource>
  <c:chart>
    <c:title>
      <c:tx>
        <c:rich>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r>
              <a:rPr lang="en-ZA" sz="1600" u="sng"/>
              <a:t>Units Sold by Product ID within Each Region</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6">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101</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Sheet6!$B$5:$B$8</c:f>
              <c:numCache>
                <c:formatCode>General</c:formatCode>
                <c:ptCount val="3"/>
                <c:pt idx="2">
                  <c:v>45</c:v>
                </c:pt>
              </c:numCache>
            </c:numRef>
          </c:val>
          <c:extLst>
            <c:ext xmlns:c16="http://schemas.microsoft.com/office/drawing/2014/chart" uri="{C3380CC4-5D6E-409C-BE32-E72D297353CC}">
              <c16:uniqueId val="{00000000-3FE3-4E98-960D-2276D75AAB09}"/>
            </c:ext>
          </c:extLst>
        </c:ser>
        <c:ser>
          <c:idx val="1"/>
          <c:order val="1"/>
          <c:tx>
            <c:strRef>
              <c:f>Sheet6!$C$3:$C$4</c:f>
              <c:strCache>
                <c:ptCount val="1"/>
                <c:pt idx="0">
                  <c:v>102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Sheet6!$C$5:$C$8</c:f>
              <c:numCache>
                <c:formatCode>General</c:formatCode>
                <c:ptCount val="3"/>
                <c:pt idx="1">
                  <c:v>45</c:v>
                </c:pt>
              </c:numCache>
            </c:numRef>
          </c:val>
          <c:extLst>
            <c:ext xmlns:c16="http://schemas.microsoft.com/office/drawing/2014/chart" uri="{C3380CC4-5D6E-409C-BE32-E72D297353CC}">
              <c16:uniqueId val="{00000001-3FE3-4E98-960D-2276D75AAB09}"/>
            </c:ext>
          </c:extLst>
        </c:ser>
        <c:ser>
          <c:idx val="2"/>
          <c:order val="2"/>
          <c:tx>
            <c:strRef>
              <c:f>Sheet6!$D$3:$D$4</c:f>
              <c:strCache>
                <c:ptCount val="1"/>
                <c:pt idx="0">
                  <c:v>103</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Sheet6!$D$5:$D$8</c:f>
              <c:numCache>
                <c:formatCode>General</c:formatCode>
                <c:ptCount val="3"/>
                <c:pt idx="0">
                  <c:v>55</c:v>
                </c:pt>
              </c:numCache>
            </c:numRef>
          </c:val>
          <c:extLst>
            <c:ext xmlns:c16="http://schemas.microsoft.com/office/drawing/2014/chart" uri="{C3380CC4-5D6E-409C-BE32-E72D297353CC}">
              <c16:uniqueId val="{00000002-3FE3-4E98-960D-2276D75AAB09}"/>
            </c:ext>
          </c:extLst>
        </c:ser>
        <c:ser>
          <c:idx val="3"/>
          <c:order val="3"/>
          <c:tx>
            <c:strRef>
              <c:f>Sheet6!$E$3:$E$4</c:f>
              <c:strCache>
                <c:ptCount val="1"/>
                <c:pt idx="0">
                  <c:v>104</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Sheet6!$E$5:$E$8</c:f>
              <c:numCache>
                <c:formatCode>General</c:formatCode>
                <c:ptCount val="3"/>
                <c:pt idx="2">
                  <c:v>30</c:v>
                </c:pt>
              </c:numCache>
            </c:numRef>
          </c:val>
          <c:extLst>
            <c:ext xmlns:c16="http://schemas.microsoft.com/office/drawing/2014/chart" uri="{C3380CC4-5D6E-409C-BE32-E72D297353CC}">
              <c16:uniqueId val="{00000003-3FE3-4E98-960D-2276D75AAB09}"/>
            </c:ext>
          </c:extLst>
        </c:ser>
        <c:ser>
          <c:idx val="4"/>
          <c:order val="4"/>
          <c:tx>
            <c:strRef>
              <c:f>Sheet6!$F$3:$F$4</c:f>
              <c:strCache>
                <c:ptCount val="1"/>
                <c:pt idx="0">
                  <c:v>105</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Sheet6!$F$5:$F$8</c:f>
              <c:numCache>
                <c:formatCode>General</c:formatCode>
                <c:ptCount val="3"/>
                <c:pt idx="1">
                  <c:v>40</c:v>
                </c:pt>
              </c:numCache>
            </c:numRef>
          </c:val>
          <c:extLst>
            <c:ext xmlns:c16="http://schemas.microsoft.com/office/drawing/2014/chart" uri="{C3380CC4-5D6E-409C-BE32-E72D297353CC}">
              <c16:uniqueId val="{00000020-3FE3-4E98-960D-2276D75AAB09}"/>
            </c:ext>
          </c:extLst>
        </c:ser>
        <c:ser>
          <c:idx val="5"/>
          <c:order val="5"/>
          <c:tx>
            <c:strRef>
              <c:f>Sheet6!$G$3:$G$4</c:f>
              <c:strCache>
                <c:ptCount val="1"/>
                <c:pt idx="0">
                  <c:v>106</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Sheet6!$G$5:$G$8</c:f>
              <c:numCache>
                <c:formatCode>General</c:formatCode>
                <c:ptCount val="3"/>
                <c:pt idx="0">
                  <c:v>45</c:v>
                </c:pt>
              </c:numCache>
            </c:numRef>
          </c:val>
          <c:extLst>
            <c:ext xmlns:c16="http://schemas.microsoft.com/office/drawing/2014/chart" uri="{C3380CC4-5D6E-409C-BE32-E72D297353CC}">
              <c16:uniqueId val="{00000021-3FE3-4E98-960D-2276D75AAB09}"/>
            </c:ext>
          </c:extLst>
        </c:ser>
        <c:ser>
          <c:idx val="6"/>
          <c:order val="6"/>
          <c:tx>
            <c:strRef>
              <c:f>Sheet6!$H$3:$H$4</c:f>
              <c:strCache>
                <c:ptCount val="1"/>
                <c:pt idx="0">
                  <c:v>107</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Sheet6!$H$5:$H$8</c:f>
              <c:numCache>
                <c:formatCode>General</c:formatCode>
                <c:ptCount val="3"/>
                <c:pt idx="2">
                  <c:v>45</c:v>
                </c:pt>
              </c:numCache>
            </c:numRef>
          </c:val>
          <c:extLst>
            <c:ext xmlns:c16="http://schemas.microsoft.com/office/drawing/2014/chart" uri="{C3380CC4-5D6E-409C-BE32-E72D297353CC}">
              <c16:uniqueId val="{00000022-3FE3-4E98-960D-2276D75AAB09}"/>
            </c:ext>
          </c:extLst>
        </c:ser>
        <c:ser>
          <c:idx val="7"/>
          <c:order val="7"/>
          <c:tx>
            <c:strRef>
              <c:f>Sheet6!$I$3:$I$4</c:f>
              <c:strCache>
                <c:ptCount val="1"/>
                <c:pt idx="0">
                  <c:v>108</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Sheet6!$I$5:$I$8</c:f>
              <c:numCache>
                <c:formatCode>General</c:formatCode>
                <c:ptCount val="3"/>
                <c:pt idx="1">
                  <c:v>45</c:v>
                </c:pt>
              </c:numCache>
            </c:numRef>
          </c:val>
          <c:extLst>
            <c:ext xmlns:c16="http://schemas.microsoft.com/office/drawing/2014/chart" uri="{C3380CC4-5D6E-409C-BE32-E72D297353CC}">
              <c16:uniqueId val="{00000023-3FE3-4E98-960D-2276D75AAB09}"/>
            </c:ext>
          </c:extLst>
        </c:ser>
        <c:ser>
          <c:idx val="8"/>
          <c:order val="8"/>
          <c:tx>
            <c:strRef>
              <c:f>Sheet6!$J$3:$J$4</c:f>
              <c:strCache>
                <c:ptCount val="1"/>
                <c:pt idx="0">
                  <c:v>109</c:v>
                </c:pt>
              </c:strCache>
            </c:strRef>
          </c:tx>
          <c:spPr>
            <a:solidFill>
              <a:schemeClr val="accent3">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Sheet6!$J$5:$J$8</c:f>
              <c:numCache>
                <c:formatCode>General</c:formatCode>
                <c:ptCount val="3"/>
                <c:pt idx="0">
                  <c:v>25</c:v>
                </c:pt>
              </c:numCache>
            </c:numRef>
          </c:val>
          <c:extLst>
            <c:ext xmlns:c16="http://schemas.microsoft.com/office/drawing/2014/chart" uri="{C3380CC4-5D6E-409C-BE32-E72D297353CC}">
              <c16:uniqueId val="{00000024-3FE3-4E98-960D-2276D75AAB09}"/>
            </c:ext>
          </c:extLst>
        </c:ser>
        <c:ser>
          <c:idx val="9"/>
          <c:order val="9"/>
          <c:tx>
            <c:strRef>
              <c:f>Sheet6!$K$3:$K$4</c:f>
              <c:strCache>
                <c:ptCount val="1"/>
                <c:pt idx="0">
                  <c:v>110</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Sheet6!$K$5:$K$8</c:f>
              <c:numCache>
                <c:formatCode>General</c:formatCode>
                <c:ptCount val="3"/>
                <c:pt idx="2">
                  <c:v>40</c:v>
                </c:pt>
              </c:numCache>
            </c:numRef>
          </c:val>
          <c:extLst>
            <c:ext xmlns:c16="http://schemas.microsoft.com/office/drawing/2014/chart" uri="{C3380CC4-5D6E-409C-BE32-E72D297353CC}">
              <c16:uniqueId val="{00000025-3FE3-4E98-960D-2276D75AAB09}"/>
            </c:ext>
          </c:extLst>
        </c:ser>
        <c:ser>
          <c:idx val="10"/>
          <c:order val="10"/>
          <c:tx>
            <c:strRef>
              <c:f>Sheet6!$L$3:$L$4</c:f>
              <c:strCache>
                <c:ptCount val="1"/>
                <c:pt idx="0">
                  <c:v>111</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Sheet6!$L$5:$L$8</c:f>
              <c:numCache>
                <c:formatCode>General</c:formatCode>
                <c:ptCount val="3"/>
                <c:pt idx="1">
                  <c:v>50</c:v>
                </c:pt>
              </c:numCache>
            </c:numRef>
          </c:val>
          <c:extLst>
            <c:ext xmlns:c16="http://schemas.microsoft.com/office/drawing/2014/chart" uri="{C3380CC4-5D6E-409C-BE32-E72D297353CC}">
              <c16:uniqueId val="{00000026-3FE3-4E98-960D-2276D75AAB09}"/>
            </c:ext>
          </c:extLst>
        </c:ser>
        <c:ser>
          <c:idx val="11"/>
          <c:order val="11"/>
          <c:tx>
            <c:strRef>
              <c:f>Sheet6!$M$3:$M$4</c:f>
              <c:strCache>
                <c:ptCount val="1"/>
                <c:pt idx="0">
                  <c:v>112</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Sheet6!$A$5:$A$8</c:f>
              <c:strCache>
                <c:ptCount val="3"/>
                <c:pt idx="0">
                  <c:v>Asia</c:v>
                </c:pt>
                <c:pt idx="1">
                  <c:v>Europe</c:v>
                </c:pt>
                <c:pt idx="2">
                  <c:v>North America</c:v>
                </c:pt>
              </c:strCache>
            </c:strRef>
          </c:cat>
          <c:val>
            <c:numRef>
              <c:f>Sheet6!$M$5:$M$8</c:f>
              <c:numCache>
                <c:formatCode>General</c:formatCode>
                <c:ptCount val="3"/>
                <c:pt idx="0">
                  <c:v>35</c:v>
                </c:pt>
              </c:numCache>
            </c:numRef>
          </c:val>
          <c:extLst>
            <c:ext xmlns:c16="http://schemas.microsoft.com/office/drawing/2014/chart" uri="{C3380CC4-5D6E-409C-BE32-E72D297353CC}">
              <c16:uniqueId val="{00000027-3FE3-4E98-960D-2276D75AAB09}"/>
            </c:ext>
          </c:extLst>
        </c:ser>
        <c:dLbls>
          <c:dLblPos val="ctr"/>
          <c:showLegendKey val="0"/>
          <c:showVal val="1"/>
          <c:showCatName val="0"/>
          <c:showSerName val="0"/>
          <c:showPercent val="0"/>
          <c:showBubbleSize val="0"/>
        </c:dLbls>
        <c:gapWidth val="150"/>
        <c:overlap val="100"/>
        <c:axId val="1385005119"/>
        <c:axId val="1385001759"/>
      </c:barChart>
      <c:catAx>
        <c:axId val="1385005119"/>
        <c:scaling>
          <c:orientation val="minMax"/>
        </c:scaling>
        <c:delete val="0"/>
        <c:axPos val="l"/>
        <c:title>
          <c:tx>
            <c:rich>
              <a:bodyPr rot="-5400000" spcFirstLastPara="1" vertOverflow="ellipsis" vert="horz" wrap="square" anchor="ctr" anchorCtr="1"/>
              <a:lstStyle/>
              <a:p>
                <a:pPr>
                  <a:defRPr sz="1200" b="1" i="0" u="sng" strike="noStrike" kern="1200" baseline="0">
                    <a:solidFill>
                      <a:schemeClr val="dk1">
                        <a:lumMod val="75000"/>
                        <a:lumOff val="25000"/>
                      </a:schemeClr>
                    </a:solidFill>
                    <a:latin typeface="+mn-lt"/>
                    <a:ea typeface="+mn-ea"/>
                    <a:cs typeface="+mn-cs"/>
                  </a:defRPr>
                </a:pPr>
                <a:r>
                  <a:rPr lang="en-US" sz="1200" u="sng"/>
                  <a:t>Region</a:t>
                </a:r>
              </a:p>
            </c:rich>
          </c:tx>
          <c:overlay val="0"/>
          <c:spPr>
            <a:noFill/>
            <a:ln>
              <a:noFill/>
            </a:ln>
            <a:effectLst/>
          </c:spPr>
          <c:txPr>
            <a:bodyPr rot="-5400000" spcFirstLastPara="1" vertOverflow="ellipsis" vert="horz" wrap="square" anchor="ctr" anchorCtr="1"/>
            <a:lstStyle/>
            <a:p>
              <a:pPr>
                <a:defRPr sz="1200" b="1" i="0" u="sng"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5001759"/>
        <c:crosses val="autoZero"/>
        <c:auto val="1"/>
        <c:lblAlgn val="ctr"/>
        <c:lblOffset val="100"/>
        <c:noMultiLvlLbl val="0"/>
      </c:catAx>
      <c:valAx>
        <c:axId val="138500175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200" b="1" i="0" u="sng" strike="noStrike" kern="1200" baseline="0">
                    <a:solidFill>
                      <a:schemeClr val="dk1">
                        <a:lumMod val="75000"/>
                        <a:lumOff val="25000"/>
                      </a:schemeClr>
                    </a:solidFill>
                    <a:latin typeface="+mn-lt"/>
                    <a:ea typeface="+mn-ea"/>
                    <a:cs typeface="+mn-cs"/>
                  </a:defRPr>
                </a:pPr>
                <a:r>
                  <a:rPr lang="en-ZA" sz="1200" u="sng"/>
                  <a:t>Sum of Units Sold</a:t>
                </a:r>
              </a:p>
            </c:rich>
          </c:tx>
          <c:overlay val="0"/>
          <c:spPr>
            <a:noFill/>
            <a:ln>
              <a:noFill/>
            </a:ln>
            <a:effectLst/>
          </c:spPr>
          <c:txPr>
            <a:bodyPr rot="0" spcFirstLastPara="1" vertOverflow="ellipsis" vert="horz" wrap="square" anchor="ctr" anchorCtr="1"/>
            <a:lstStyle/>
            <a:p>
              <a:pPr>
                <a:defRPr sz="1200" b="1" i="0" u="sng"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3850051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40004</xdr:colOff>
      <xdr:row>2</xdr:row>
      <xdr:rowOff>1905</xdr:rowOff>
    </xdr:from>
    <xdr:to>
      <xdr:col>11</xdr:col>
      <xdr:colOff>581024</xdr:colOff>
      <xdr:row>25</xdr:row>
      <xdr:rowOff>125730</xdr:rowOff>
    </xdr:to>
    <xdr:graphicFrame macro="">
      <xdr:nvGraphicFramePr>
        <xdr:cNvPr id="3" name="Chart 2">
          <a:extLst>
            <a:ext uri="{FF2B5EF4-FFF2-40B4-BE49-F238E27FC236}">
              <a16:creationId xmlns:a16="http://schemas.microsoft.com/office/drawing/2014/main" id="{A287D9C4-D473-727D-32B5-DE1828859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45720</xdr:colOff>
      <xdr:row>2</xdr:row>
      <xdr:rowOff>5716</xdr:rowOff>
    </xdr:from>
    <xdr:to>
      <xdr:col>15</xdr:col>
      <xdr:colOff>57150</xdr:colOff>
      <xdr:row>10</xdr:row>
      <xdr:rowOff>5715</xdr:rowOff>
    </xdr:to>
    <mc:AlternateContent xmlns:mc="http://schemas.openxmlformats.org/markup-compatibility/2006">
      <mc:Choice xmlns:a14="http://schemas.microsoft.com/office/drawing/2010/main" Requires="a14">
        <xdr:graphicFrame macro="">
          <xdr:nvGraphicFramePr>
            <xdr:cNvPr id="4" name="Quarters (Sale Date)">
              <a:extLst>
                <a:ext uri="{FF2B5EF4-FFF2-40B4-BE49-F238E27FC236}">
                  <a16:creationId xmlns:a16="http://schemas.microsoft.com/office/drawing/2014/main" id="{146AF413-5880-8DB1-B6A4-93F206E6EFC6}"/>
                </a:ext>
              </a:extLst>
            </xdr:cNvPr>
            <xdr:cNvGraphicFramePr/>
          </xdr:nvGraphicFramePr>
          <xdr:xfrm>
            <a:off x="0" y="0"/>
            <a:ext cx="0" cy="0"/>
          </xdr:xfrm>
          <a:graphic>
            <a:graphicData uri="http://schemas.microsoft.com/office/drawing/2010/slicer">
              <sle:slicer xmlns:sle="http://schemas.microsoft.com/office/drawing/2010/slicer" name="Quarters (Sale Date)"/>
            </a:graphicData>
          </a:graphic>
        </xdr:graphicFrame>
      </mc:Choice>
      <mc:Fallback>
        <xdr:sp macro="" textlink="">
          <xdr:nvSpPr>
            <xdr:cNvPr id="0" name=""/>
            <xdr:cNvSpPr>
              <a:spLocks noTextEdit="1"/>
            </xdr:cNvSpPr>
          </xdr:nvSpPr>
          <xdr:spPr>
            <a:xfrm>
              <a:off x="8353425" y="369571"/>
              <a:ext cx="1834515" cy="14477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10</xdr:row>
      <xdr:rowOff>43815</xdr:rowOff>
    </xdr:from>
    <xdr:to>
      <xdr:col>15</xdr:col>
      <xdr:colOff>62865</xdr:colOff>
      <xdr:row>15</xdr:row>
      <xdr:rowOff>64769</xdr:rowOff>
    </xdr:to>
    <mc:AlternateContent xmlns:mc="http://schemas.openxmlformats.org/markup-compatibility/2006">
      <mc:Choice xmlns:a14="http://schemas.microsoft.com/office/drawing/2010/main" Requires="a14">
        <xdr:graphicFrame macro="">
          <xdr:nvGraphicFramePr>
            <xdr:cNvPr id="5" name="Years (Sale Date)">
              <a:extLst>
                <a:ext uri="{FF2B5EF4-FFF2-40B4-BE49-F238E27FC236}">
                  <a16:creationId xmlns:a16="http://schemas.microsoft.com/office/drawing/2014/main" id="{AD1731F7-1D68-1B66-EC4B-A98A68CF8189}"/>
                </a:ext>
              </a:extLst>
            </xdr:cNvPr>
            <xdr:cNvGraphicFramePr/>
          </xdr:nvGraphicFramePr>
          <xdr:xfrm>
            <a:off x="0" y="0"/>
            <a:ext cx="0" cy="0"/>
          </xdr:xfrm>
          <a:graphic>
            <a:graphicData uri="http://schemas.microsoft.com/office/drawing/2010/slicer">
              <sle:slicer xmlns:sle="http://schemas.microsoft.com/office/drawing/2010/slicer" name="Years (Sale Date)"/>
            </a:graphicData>
          </a:graphic>
        </xdr:graphicFrame>
      </mc:Choice>
      <mc:Fallback>
        <xdr:sp macro="" textlink="">
          <xdr:nvSpPr>
            <xdr:cNvPr id="0" name=""/>
            <xdr:cNvSpPr>
              <a:spLocks noTextEdit="1"/>
            </xdr:cNvSpPr>
          </xdr:nvSpPr>
          <xdr:spPr>
            <a:xfrm>
              <a:off x="8362950" y="1855470"/>
              <a:ext cx="1830705" cy="92011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6667</xdr:rowOff>
    </xdr:from>
    <xdr:to>
      <xdr:col>10</xdr:col>
      <xdr:colOff>257175</xdr:colOff>
      <xdr:row>29</xdr:row>
      <xdr:rowOff>43815</xdr:rowOff>
    </xdr:to>
    <xdr:graphicFrame macro="">
      <xdr:nvGraphicFramePr>
        <xdr:cNvPr id="2" name="Chart 1">
          <a:extLst>
            <a:ext uri="{FF2B5EF4-FFF2-40B4-BE49-F238E27FC236}">
              <a16:creationId xmlns:a16="http://schemas.microsoft.com/office/drawing/2014/main" id="{1F334E02-DE38-8530-2FD3-C787A67A1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287655</xdr:colOff>
      <xdr:row>9</xdr:row>
      <xdr:rowOff>11430</xdr:rowOff>
    </xdr:from>
    <xdr:to>
      <xdr:col>13</xdr:col>
      <xdr:colOff>748665</xdr:colOff>
      <xdr:row>22</xdr:row>
      <xdr:rowOff>123825</xdr:rowOff>
    </xdr:to>
    <mc:AlternateContent xmlns:mc="http://schemas.openxmlformats.org/markup-compatibility/2006">
      <mc:Choice xmlns:a14="http://schemas.microsoft.com/office/drawing/2010/main" Requires="a14">
        <xdr:graphicFrame macro="">
          <xdr:nvGraphicFramePr>
            <xdr:cNvPr id="3" name="Product ID">
              <a:extLst>
                <a:ext uri="{FF2B5EF4-FFF2-40B4-BE49-F238E27FC236}">
                  <a16:creationId xmlns:a16="http://schemas.microsoft.com/office/drawing/2014/main" id="{81E7B31A-97F1-00EA-342C-9FD8BCADFF3C}"/>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dr:sp macro="" textlink="">
          <xdr:nvSpPr>
            <xdr:cNvPr id="0" name=""/>
            <xdr:cNvSpPr>
              <a:spLocks noTextEdit="1"/>
            </xdr:cNvSpPr>
          </xdr:nvSpPr>
          <xdr:spPr>
            <a:xfrm>
              <a:off x="6360795" y="1644015"/>
              <a:ext cx="1832610" cy="246316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281940</xdr:colOff>
      <xdr:row>22</xdr:row>
      <xdr:rowOff>173356</xdr:rowOff>
    </xdr:from>
    <xdr:to>
      <xdr:col>13</xdr:col>
      <xdr:colOff>739140</xdr:colOff>
      <xdr:row>29</xdr:row>
      <xdr:rowOff>57151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A6C3561-5459-7629-694F-2FF82009B4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62700" y="4150996"/>
              <a:ext cx="1828800" cy="11506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36195</xdr:colOff>
      <xdr:row>0</xdr:row>
      <xdr:rowOff>89534</xdr:rowOff>
    </xdr:from>
    <xdr:to>
      <xdr:col>5</xdr:col>
      <xdr:colOff>487680</xdr:colOff>
      <xdr:row>6</xdr:row>
      <xdr:rowOff>169544</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ADAE4D8A-46E6-5A57-CF68-257E0E3C2E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427095" y="93344"/>
              <a:ext cx="1668780" cy="11658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8572</xdr:rowOff>
    </xdr:from>
    <xdr:to>
      <xdr:col>5</xdr:col>
      <xdr:colOff>569595</xdr:colOff>
      <xdr:row>27</xdr:row>
      <xdr:rowOff>38100</xdr:rowOff>
    </xdr:to>
    <xdr:graphicFrame macro="">
      <xdr:nvGraphicFramePr>
        <xdr:cNvPr id="3" name="Chart 2">
          <a:extLst>
            <a:ext uri="{FF2B5EF4-FFF2-40B4-BE49-F238E27FC236}">
              <a16:creationId xmlns:a16="http://schemas.microsoft.com/office/drawing/2014/main" id="{220D27E1-B4E2-15EA-A5BD-567DD7CE4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8</xdr:row>
      <xdr:rowOff>162877</xdr:rowOff>
    </xdr:from>
    <xdr:to>
      <xdr:col>12</xdr:col>
      <xdr:colOff>110490</xdr:colOff>
      <xdr:row>26</xdr:row>
      <xdr:rowOff>123825</xdr:rowOff>
    </xdr:to>
    <xdr:graphicFrame macro="">
      <xdr:nvGraphicFramePr>
        <xdr:cNvPr id="4" name="Chart 3">
          <a:extLst>
            <a:ext uri="{FF2B5EF4-FFF2-40B4-BE49-F238E27FC236}">
              <a16:creationId xmlns:a16="http://schemas.microsoft.com/office/drawing/2014/main" id="{38BAC43F-CC57-29E5-6400-E6AE5D7C0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161925</xdr:colOff>
      <xdr:row>8</xdr:row>
      <xdr:rowOff>163830</xdr:rowOff>
    </xdr:from>
    <xdr:to>
      <xdr:col>14</xdr:col>
      <xdr:colOff>344805</xdr:colOff>
      <xdr:row>15</xdr:row>
      <xdr:rowOff>114300</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8CF6D75A-5989-10A6-3EF0-387D7190FA4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5126355" y="1615440"/>
              <a:ext cx="1209675" cy="12134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27</xdr:row>
      <xdr:rowOff>17145</xdr:rowOff>
    </xdr:from>
    <xdr:to>
      <xdr:col>12</xdr:col>
      <xdr:colOff>91440</xdr:colOff>
      <xdr:row>34</xdr:row>
      <xdr:rowOff>133350</xdr:rowOff>
    </xdr:to>
    <mc:AlternateContent xmlns:mc="http://schemas.openxmlformats.org/markup-compatibility/2006">
      <mc:Choice xmlns:tsle="http://schemas.microsoft.com/office/drawing/2012/timeslicer" Requires="tsle">
        <xdr:graphicFrame macro="">
          <xdr:nvGraphicFramePr>
            <xdr:cNvPr id="8" name="Sale Date">
              <a:extLst>
                <a:ext uri="{FF2B5EF4-FFF2-40B4-BE49-F238E27FC236}">
                  <a16:creationId xmlns:a16="http://schemas.microsoft.com/office/drawing/2014/main" id="{89130677-5B45-9044-A8E9-E53484AB0DAF}"/>
                </a:ext>
              </a:extLst>
            </xdr:cNvPr>
            <xdr:cNvGraphicFramePr/>
          </xdr:nvGraphicFramePr>
          <xdr:xfrm>
            <a:off x="0" y="0"/>
            <a:ext cx="0" cy="0"/>
          </xdr:xfrm>
          <a:graphic>
            <a:graphicData uri="http://schemas.microsoft.com/office/drawing/2012/timeslicer">
              <tsle:timeslicer xmlns:tsle="http://schemas.microsoft.com/office/drawing/2012/timeslicer" name="Sale Date"/>
            </a:graphicData>
          </a:graphic>
        </xdr:graphicFrame>
      </mc:Choice>
      <mc:Fallback>
        <xdr:sp macro="" textlink="">
          <xdr:nvSpPr>
            <xdr:cNvPr id="0" name=""/>
            <xdr:cNvSpPr>
              <a:spLocks noTextEdit="1"/>
            </xdr:cNvSpPr>
          </xdr:nvSpPr>
          <xdr:spPr>
            <a:xfrm>
              <a:off x="15240" y="4907280"/>
              <a:ext cx="5042535" cy="137541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y Wesso" refreshedDate="45884.482607986109" createdVersion="8" refreshedVersion="8" minRefreshableVersion="3" recordCount="24" xr:uid="{E6E71179-F66A-40D0-8A5F-9EE82669D2DA}">
  <cacheSource type="worksheet">
    <worksheetSource name="sales_data_over_years_PM0310"/>
  </cacheSource>
  <cacheFields count="11">
    <cacheField name="Sale Date" numFmtId="14">
      <sharedItems containsSemiMixedTypes="0" containsNonDate="0" containsDate="1" containsString="0" minDate="2022-01-05T00:00:00" maxDate="2023-12-31T00:00:00" count="24">
        <d v="2023-12-30T00:00:00"/>
        <d v="2023-11-25T00:00:00"/>
        <d v="2023-10-20T00:00:00"/>
        <d v="2023-09-15T00:00:00"/>
        <d v="2023-08-10T00:00:00"/>
        <d v="2023-07-05T00:00:00"/>
        <d v="2023-06-30T00:00:00"/>
        <d v="2023-05-25T00:00:00"/>
        <d v="2023-04-20T00:00:00"/>
        <d v="2023-03-15T00:00:00"/>
        <d v="2023-02-10T00:00:00"/>
        <d v="2023-01-05T00:00:00"/>
        <d v="2022-12-30T00:00:00"/>
        <d v="2022-11-25T00:00:00"/>
        <d v="2022-10-20T00:00:00"/>
        <d v="2022-09-15T00:00:00"/>
        <d v="2022-08-10T00:00:00"/>
        <d v="2022-07-05T00:00:00"/>
        <d v="2022-06-30T00:00:00"/>
        <d v="2022-05-25T00:00:00"/>
        <d v="2022-04-20T00:00:00"/>
        <d v="2022-03-15T00:00:00"/>
        <d v="2022-02-10T00:00:00"/>
        <d v="2022-01-05T00:00:00"/>
      </sharedItems>
      <fieldGroup par="10"/>
    </cacheField>
    <cacheField name="Product ID" numFmtId="0">
      <sharedItems containsSemiMixedTypes="0" containsString="0" containsNumber="1" containsInteger="1" minValue="101" maxValue="112" count="12">
        <n v="112"/>
        <n v="111"/>
        <n v="110"/>
        <n v="109"/>
        <n v="108"/>
        <n v="107"/>
        <n v="106"/>
        <n v="105"/>
        <n v="104"/>
        <n v="103"/>
        <n v="102"/>
        <n v="101"/>
      </sharedItems>
    </cacheField>
    <cacheField name="Region" numFmtId="0">
      <sharedItems count="3">
        <s v="Asia"/>
        <s v="Europe"/>
        <s v="North America"/>
      </sharedItems>
    </cacheField>
    <cacheField name="Units Sold" numFmtId="0">
      <sharedItems containsSemiMixedTypes="0" containsString="0" containsNumber="1" containsInteger="1" minValue="10" maxValue="30"/>
    </cacheField>
    <cacheField name="Sales Amount" numFmtId="166">
      <sharedItems containsSemiMixedTypes="0" containsString="0" containsNumber="1" containsInteger="1" minValue="1000" maxValue="3000"/>
    </cacheField>
    <cacheField name="Total Sales" numFmtId="166">
      <sharedItems containsSemiMixedTypes="0" containsString="0" containsNumber="1" containsInteger="1" minValue="10000" maxValue="90000"/>
    </cacheField>
    <cacheField name="Average Units Sold" numFmtId="173">
      <sharedItems containsSemiMixedTypes="0" containsString="0" containsNumber="1" minValue="20.833333333333332" maxValue="20.833333333333332"/>
    </cacheField>
    <cacheField name="Sales growth Rate" numFmtId="9">
      <sharedItems containsSemiMixedTypes="0" containsString="0" containsNumber="1" minValue="-1" maxValue="5.25"/>
    </cacheField>
    <cacheField name="Months (Sale Date)" numFmtId="0" databaseField="0">
      <fieldGroup base="0">
        <rangePr groupBy="months" startDate="2022-01-05T00:00:00" endDate="2023-12-31T00:00:00"/>
        <groupItems count="14">
          <s v="&lt;2022/01/05"/>
          <s v="Jan"/>
          <s v="Feb"/>
          <s v="Mar"/>
          <s v="Apr"/>
          <s v="May"/>
          <s v="Jun"/>
          <s v="Jul"/>
          <s v="Aug"/>
          <s v="Sept"/>
          <s v="Oct"/>
          <s v="Nov"/>
          <s v="Dec"/>
          <s v="&gt;2023/12/31"/>
        </groupItems>
      </fieldGroup>
    </cacheField>
    <cacheField name="Quarters (Sale Date)" numFmtId="0" databaseField="0">
      <fieldGroup base="0">
        <rangePr groupBy="quarters" startDate="2022-01-05T00:00:00" endDate="2023-12-31T00:00:00"/>
        <groupItems count="6">
          <s v="&lt;2022/01/05"/>
          <s v="Qtr1"/>
          <s v="Qtr2"/>
          <s v="Qtr3"/>
          <s v="Qtr4"/>
          <s v="&gt;2023/12/31"/>
        </groupItems>
      </fieldGroup>
    </cacheField>
    <cacheField name="Years (Sale Date)" numFmtId="0" databaseField="0">
      <fieldGroup base="0">
        <rangePr groupBy="years" startDate="2022-01-05T00:00:00" endDate="2023-12-31T00:00:00"/>
        <groupItems count="4">
          <s v="&lt;2022/01/05"/>
          <s v="2022"/>
          <s v="2023"/>
          <s v="&gt;2023/12/31"/>
        </groupItems>
      </fieldGroup>
    </cacheField>
  </cacheFields>
  <extLst>
    <ext xmlns:x14="http://schemas.microsoft.com/office/spreadsheetml/2009/9/main" uri="{725AE2AE-9491-48be-B2B4-4EB974FC3084}">
      <x14:pivotCacheDefinition pivotCacheId="1127131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anay Wesso" refreshedDate="45884.507482986111" backgroundQuery="1" createdVersion="3" refreshedVersion="8" minRefreshableVersion="3" recordCount="0" tupleCache="1" supportSubquery="1" supportAdvancedDrill="1" xr:uid="{4F9A6567-F25E-41AC-86BC-935136D081F4}">
  <cacheSource type="external" connectionId="2"/>
  <cacheFields count="2">
    <cacheField name="[Measures].[MeasuresLevel]" caption="MeasuresLevel" numFmtId="0">
      <sharedItems count="2">
        <s v="[Measures].[Sum of Product ID]" c="Sum of Product ID"/>
        <s v="[Measures].[Sum of Sales Amount]" c="Sum of Sales Amount"/>
      </sharedItems>
    </cacheField>
    <cacheField name="[sales_data_over_years_PM0310].[Region].[Region]" caption="Region" numFmtId="0" hierarchy="3" level="1">
      <sharedItems count="3">
        <s v="[sales_data_over_years_PM0310].[Region].&amp;[Asia]" c="Asia"/>
        <s v="[sales_data_over_years_PM0310].[Region].&amp;[Europe]" c="Europe"/>
        <s v="[sales_data_over_years_PM0310].[Region].&amp;[North America]" c="North America"/>
      </sharedItems>
    </cacheField>
  </cacheFields>
  <cacheHierarchies count="13">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sales_data_over_years_PM0310].[Sale Date]" caption="Sale Date" attribute="1" time="1" defaultMemberUniqueName="[sales_data_over_years_PM0310].[Sale Date].[All]" allUniqueName="[sales_data_over_years_PM0310].[Sale Date].[All]" dimensionUniqueName="[sales_data_over_years_PM0310]" displayFolder="" count="2" memberValueDatatype="7" unbalanced="0"/>
    <cacheHierarchy uniqueName="[sales_data_over_years_PM0310].[Product ID]" caption="Product ID" attribute="1" defaultMemberUniqueName="[sales_data_over_years_PM0310].[Product ID].[All]" allUniqueName="[sales_data_over_years_PM0310].[Product ID].[All]" dimensionUniqueName="[sales_data_over_years_PM0310]" displayFolder="" count="2" memberValueDatatype="20" unbalanced="0"/>
    <cacheHierarchy uniqueName="[sales_data_over_years_PM0310].[Region]" caption="Region" attribute="1" defaultMemberUniqueName="[sales_data_over_years_PM0310].[Region].[All]" allUniqueName="[sales_data_over_years_PM0310].[Region].[All]" allCaption="All" dimensionUniqueName="[sales_data_over_years_PM0310]" displayFolder="" count="2" memberValueDatatype="130" unbalanced="0">
      <fieldsUsage count="2">
        <fieldUsage x="-1"/>
        <fieldUsage x="1"/>
      </fieldsUsage>
    </cacheHierarchy>
    <cacheHierarchy uniqueName="[sales_data_over_years_PM0310].[Units Sold]" caption="Units Sold" attribute="1" defaultMemberUniqueName="[sales_data_over_years_PM0310].[Units Sold].[All]" allUniqueName="[sales_data_over_years_PM0310].[Units Sold].[All]" dimensionUniqueName="[sales_data_over_years_PM0310]" displayFolder="" count="2" memberValueDatatype="20" unbalanced="0"/>
    <cacheHierarchy uniqueName="[sales_data_over_years_PM0310].[Sales Amount]" caption="Sales Amount" attribute="1" defaultMemberUniqueName="[sales_data_over_years_PM0310].[Sales Amount].[All]" allUniqueName="[sales_data_over_years_PM0310].[Sales Amount].[All]" dimensionUniqueName="[sales_data_over_years_PM0310]" displayFolder="" count="2" memberValueDatatype="20" unbalanced="0"/>
    <cacheHierarchy uniqueName="[sales_data_over_years_PM0310].[Total Sales]" caption="Total Sales" attribute="1" defaultMemberUniqueName="[sales_data_over_years_PM0310].[Total Sales].[All]" allUniqueName="[sales_data_over_years_PM0310].[Total Sales].[All]" dimensionUniqueName="[sales_data_over_years_PM0310]" displayFolder="" count="2" memberValueDatatype="20" unbalanced="0"/>
    <cacheHierarchy uniqueName="[sales_data_over_years_PM0310].[Average Units Sold]" caption="Average Units Sold" attribute="1" defaultMemberUniqueName="[sales_data_over_years_PM0310].[Average Units Sold].[All]" allUniqueName="[sales_data_over_years_PM0310].[Average Units Sold].[All]" dimensionUniqueName="[sales_data_over_years_PM0310]" displayFolder="" count="2" memberValueDatatype="5" unbalanced="0"/>
    <cacheHierarchy uniqueName="[sales_data_over_years_PM0310].[Sales growth Rate]" caption="Sales growth Rate" attribute="1" defaultMemberUniqueName="[sales_data_over_years_PM0310].[Sales growth Rate].[All]" allUniqueName="[sales_data_over_years_PM0310].[Sales growth Rate].[All]" dimensionUniqueName="[sales_data_over_years_PM0310]" displayFolder="" count="2" memberValueDatatype="5" unbalanced="0"/>
    <cacheHierarchy uniqueName="[Measures].[__XL_Count sales_data_over_years_PM0310]" caption="__XL_Count sales_data_over_years_PM0310" measure="1" displayFolder="" measureGroup="sales_data_over_years_PM0310" count="0" hidden="1"/>
    <cacheHierarchy uniqueName="[Measures].[__No measures defined]" caption="__No measures defined" measure="1" displayFolder="" count="0" hidden="1"/>
    <cacheHierarchy uniqueName="[Measures].[Sum of Product ID]" caption="Sum of Product ID" measure="1" displayFolder="" measureGroup="sales_data_over_years_PM0310" count="0" hidden="1">
      <extLst>
        <ext xmlns:x15="http://schemas.microsoft.com/office/spreadsheetml/2010/11/main" uri="{B97F6D7D-B522-45F9-BDA1-12C45D357490}">
          <x15:cacheHierarchy aggregatedColumn="2"/>
        </ext>
      </extLst>
    </cacheHierarchy>
    <cacheHierarchy uniqueName="[Measures].[Sum of Sales Amount]" caption="Sum of Sales Amount" measure="1" displayFolder="" measureGroup="sales_data_over_years_PM0310" count="0" hidden="1">
      <extLst>
        <ext xmlns:x15="http://schemas.microsoft.com/office/spreadsheetml/2010/11/main" uri="{B97F6D7D-B522-45F9-BDA1-12C45D357490}">
          <x15:cacheHierarchy aggregatedColumn="5"/>
        </ext>
      </extLst>
    </cacheHierarchy>
  </cacheHierarchies>
  <kpis count="0"/>
  <tupleCache>
    <entries count="8">
      <n v="860">
        <tpls c="2">
          <tpl fld="0" item="0"/>
          <tpl fld="1" item="0"/>
        </tpls>
      </n>
      <n v="16000">
        <tpls c="2">
          <tpl fld="0" item="1"/>
          <tpl fld="1" item="0"/>
        </tpls>
      </n>
      <n v="18000">
        <tpls c="2">
          <tpl fld="0" item="1"/>
          <tpl fld="1" item="1"/>
        </tpls>
      </n>
      <n v="16000">
        <tpls c="2">
          <tpl fld="0" item="1"/>
          <tpl fld="1" item="2"/>
        </tpls>
      </n>
      <n v="50000">
        <tpls c="2">
          <tpl fld="0" item="1"/>
          <tpl hier="3" item="4294967295"/>
        </tpls>
      </n>
      <n v="852">
        <tpls c="2">
          <tpl fld="0" item="0"/>
          <tpl fld="1" item="1"/>
        </tpls>
      </n>
      <n v="844">
        <tpls c="2">
          <tpl fld="0" item="0"/>
          <tpl fld="1" item="2"/>
        </tpls>
      </n>
      <n v="2556">
        <tpls c="2">
          <tpl fld="0" item="0"/>
          <tpl hier="3" item="4294967295"/>
        </tpls>
      </n>
    </entries>
    <queryCache count="6">
      <query mdx="[Measures].[Sum of Product ID]">
        <tpls c="1">
          <tpl fld="0" item="0"/>
        </tpls>
      </query>
      <query mdx="[Measures].[Sum of Sales Amount]">
        <tpls c="1">
          <tpl fld="0" item="1"/>
        </tpls>
      </query>
      <query mdx="[sales_data_over_years_PM0310].[Region].&amp;[Asia]">
        <tpls c="1">
          <tpl fld="1" item="0"/>
        </tpls>
      </query>
      <query mdx="[sales_data_over_years_PM0310].[Region].&amp;[Europe]">
        <tpls c="1">
          <tpl fld="1" item="1"/>
        </tpls>
      </query>
      <query mdx="[sales_data_over_years_PM0310].[Region].&amp;[North America]">
        <tpls c="1">
          <tpl fld="1" item="2"/>
        </tpls>
      </query>
      <query mdx="[sales_data_over_years_PM0310].[Region].[All]">
        <tpls c="1">
          <tpl hier="3" item="4294967295"/>
        </tpls>
      </query>
    </queryCache>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ay Wesso" refreshedDate="45884.508071643519" backgroundQuery="1" createdVersion="3" refreshedVersion="8" minRefreshableVersion="3" recordCount="0" supportSubquery="1" supportAdvancedDrill="1" xr:uid="{48F16B79-28EF-4ADA-B1EA-2AB38CEABC0A}">
  <cacheSource type="external" connectionId="2">
    <extLst>
      <ext xmlns:x14="http://schemas.microsoft.com/office/spreadsheetml/2009/9/main" uri="{F057638F-6D5F-4e77-A914-E7F072B9BCA8}">
        <x14:sourceConnection name="ThisWorkbookDataModel"/>
      </ext>
    </extLst>
  </cacheSource>
  <cacheFields count="0"/>
  <cacheHierarchies count="12">
    <cacheHierarchy uniqueName="[sales_data_over_years_PM0310].[Sale Date]" caption="Sale Date" attribute="1" time="1" defaultMemberUniqueName="[sales_data_over_years_PM0310].[Sale Date].[All]" allUniqueName="[sales_data_over_years_PM0310].[Sale Date].[All]" dimensionUniqueName="[sales_data_over_years_PM0310]" displayFolder="" count="0" memberValueDatatype="7" unbalanced="0"/>
    <cacheHierarchy uniqueName="[sales_data_over_years_PM0310].[Product ID]" caption="Product ID" attribute="1" defaultMemberUniqueName="[sales_data_over_years_PM0310].[Product ID].[All]" allUniqueName="[sales_data_over_years_PM0310].[Product ID].[All]" dimensionUniqueName="[sales_data_over_years_PM0310]" displayFolder="" count="0" memberValueDatatype="20" unbalanced="0"/>
    <cacheHierarchy uniqueName="[sales_data_over_years_PM0310].[Region]" caption="Region" attribute="1" defaultMemberUniqueName="[sales_data_over_years_PM0310].[Region].[All]" allUniqueName="[sales_data_over_years_PM0310].[Region].[All]" dimensionUniqueName="[sales_data_over_years_PM0310]" displayFolder="" count="2" memberValueDatatype="130" unbalanced="0"/>
    <cacheHierarchy uniqueName="[sales_data_over_years_PM0310].[Units Sold]" caption="Units Sold" attribute="1" defaultMemberUniqueName="[sales_data_over_years_PM0310].[Units Sold].[All]" allUniqueName="[sales_data_over_years_PM0310].[Units Sold].[All]" dimensionUniqueName="[sales_data_over_years_PM0310]" displayFolder="" count="0" memberValueDatatype="20" unbalanced="0"/>
    <cacheHierarchy uniqueName="[sales_data_over_years_PM0310].[Sales Amount]" caption="Sales Amount" attribute="1" defaultMemberUniqueName="[sales_data_over_years_PM0310].[Sales Amount].[All]" allUniqueName="[sales_data_over_years_PM0310].[Sales Amount].[All]" dimensionUniqueName="[sales_data_over_years_PM0310]" displayFolder="" count="0" memberValueDatatype="20" unbalanced="0"/>
    <cacheHierarchy uniqueName="[sales_data_over_years_PM0310].[Total Sales]" caption="Total Sales" attribute="1" defaultMemberUniqueName="[sales_data_over_years_PM0310].[Total Sales].[All]" allUniqueName="[sales_data_over_years_PM0310].[Total Sales].[All]" dimensionUniqueName="[sales_data_over_years_PM0310]" displayFolder="" count="0" memberValueDatatype="20" unbalanced="0"/>
    <cacheHierarchy uniqueName="[sales_data_over_years_PM0310].[Average Units Sold]" caption="Average Units Sold" attribute="1" defaultMemberUniqueName="[sales_data_over_years_PM0310].[Average Units Sold].[All]" allUniqueName="[sales_data_over_years_PM0310].[Average Units Sold].[All]" dimensionUniqueName="[sales_data_over_years_PM0310]" displayFolder="" count="0" memberValueDatatype="5" unbalanced="0"/>
    <cacheHierarchy uniqueName="[sales_data_over_years_PM0310].[Sales growth Rate]" caption="Sales growth Rate" attribute="1" defaultMemberUniqueName="[sales_data_over_years_PM0310].[Sales growth Rate].[All]" allUniqueName="[sales_data_over_years_PM0310].[Sales growth Rate].[All]" dimensionUniqueName="[sales_data_over_years_PM0310]" displayFolder="" count="0" memberValueDatatype="5" unbalanced="0"/>
    <cacheHierarchy uniqueName="[Measures].[__XL_Count sales_data_over_years_PM0310]" caption="__XL_Count sales_data_over_years_PM0310" measure="1" displayFolder="" measureGroup="sales_data_over_years_PM0310" count="0" hidden="1"/>
    <cacheHierarchy uniqueName="[Measures].[__No measures defined]" caption="__No measures defined" measure="1" displayFolder="" count="0" hidden="1"/>
    <cacheHierarchy uniqueName="[Measures].[Sum of Product ID]" caption="Sum of Product ID" measure="1" displayFolder="" measureGroup="sales_data_over_years_PM0310" count="0" hidden="1">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sales_data_over_years_PM0310"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603429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20"/>
    <n v="2000"/>
    <n v="40000"/>
    <n v="20.833333333333332"/>
    <n v="1.25"/>
  </r>
  <r>
    <x v="1"/>
    <x v="1"/>
    <x v="1"/>
    <n v="30"/>
    <n v="3000"/>
    <n v="90000"/>
    <n v="20.833333333333332"/>
    <n v="-0.88888888888888884"/>
  </r>
  <r>
    <x v="2"/>
    <x v="2"/>
    <x v="2"/>
    <n v="10"/>
    <n v="1000"/>
    <n v="10000"/>
    <n v="20.833333333333332"/>
    <n v="1.25"/>
  </r>
  <r>
    <x v="3"/>
    <x v="3"/>
    <x v="0"/>
    <n v="15"/>
    <n v="1500"/>
    <n v="22500"/>
    <n v="20.833333333333332"/>
    <n v="0.77777777777777768"/>
  </r>
  <r>
    <x v="4"/>
    <x v="4"/>
    <x v="1"/>
    <n v="20"/>
    <n v="2000"/>
    <n v="40000"/>
    <n v="20.833333333333332"/>
    <n v="1.25"/>
  </r>
  <r>
    <x v="5"/>
    <x v="5"/>
    <x v="2"/>
    <n v="30"/>
    <n v="3000"/>
    <n v="90000"/>
    <n v="20.833333333333332"/>
    <n v="-0.30555555555555558"/>
  </r>
  <r>
    <x v="6"/>
    <x v="6"/>
    <x v="0"/>
    <n v="25"/>
    <n v="2500"/>
    <n v="62500"/>
    <n v="20.833333333333332"/>
    <n v="-0.84"/>
  </r>
  <r>
    <x v="7"/>
    <x v="7"/>
    <x v="1"/>
    <n v="10"/>
    <n v="1000"/>
    <n v="10000"/>
    <n v="20.833333333333332"/>
    <n v="3"/>
  </r>
  <r>
    <x v="8"/>
    <x v="8"/>
    <x v="2"/>
    <n v="20"/>
    <n v="2000"/>
    <n v="40000"/>
    <n v="20.833333333333332"/>
    <n v="1.25"/>
  </r>
  <r>
    <x v="9"/>
    <x v="9"/>
    <x v="0"/>
    <n v="30"/>
    <n v="3000"/>
    <n v="90000"/>
    <n v="20.833333333333332"/>
    <n v="-0.75"/>
  </r>
  <r>
    <x v="10"/>
    <x v="10"/>
    <x v="1"/>
    <n v="15"/>
    <n v="1500"/>
    <n v="22500"/>
    <n v="20.833333333333332"/>
    <n v="1.7777777777777777"/>
  </r>
  <r>
    <x v="11"/>
    <x v="11"/>
    <x v="2"/>
    <n v="25"/>
    <n v="2500"/>
    <n v="62500"/>
    <n v="20.833333333333332"/>
    <n v="-0.64"/>
  </r>
  <r>
    <x v="12"/>
    <x v="0"/>
    <x v="0"/>
    <n v="15"/>
    <n v="1500"/>
    <n v="22500"/>
    <n v="20.833333333333332"/>
    <n v="0.77777777777777768"/>
  </r>
  <r>
    <x v="13"/>
    <x v="1"/>
    <x v="1"/>
    <n v="20"/>
    <n v="2000"/>
    <n v="40000"/>
    <n v="20.833333333333332"/>
    <n v="1.25"/>
  </r>
  <r>
    <x v="14"/>
    <x v="2"/>
    <x v="2"/>
    <n v="30"/>
    <n v="3000"/>
    <n v="90000"/>
    <n v="20.833333333333332"/>
    <n v="-0.88888888888888884"/>
  </r>
  <r>
    <x v="15"/>
    <x v="3"/>
    <x v="0"/>
    <n v="10"/>
    <n v="1000"/>
    <n v="10000"/>
    <n v="20.833333333333332"/>
    <n v="5.25"/>
  </r>
  <r>
    <x v="16"/>
    <x v="4"/>
    <x v="1"/>
    <n v="25"/>
    <n v="2500"/>
    <n v="62500"/>
    <n v="20.833333333333332"/>
    <n v="-0.64"/>
  </r>
  <r>
    <x v="17"/>
    <x v="5"/>
    <x v="2"/>
    <n v="15"/>
    <n v="1500"/>
    <n v="22500"/>
    <n v="20.833333333333332"/>
    <n v="0.77777777777777768"/>
  </r>
  <r>
    <x v="18"/>
    <x v="6"/>
    <x v="0"/>
    <n v="20"/>
    <n v="2000"/>
    <n v="40000"/>
    <n v="20.833333333333332"/>
    <n v="1.25"/>
  </r>
  <r>
    <x v="19"/>
    <x v="7"/>
    <x v="1"/>
    <n v="30"/>
    <n v="3000"/>
    <n v="90000"/>
    <n v="20.833333333333332"/>
    <n v="-0.88888888888888884"/>
  </r>
  <r>
    <x v="20"/>
    <x v="8"/>
    <x v="2"/>
    <n v="10"/>
    <n v="1000"/>
    <n v="10000"/>
    <n v="20.833333333333332"/>
    <n v="5.25"/>
  </r>
  <r>
    <x v="21"/>
    <x v="9"/>
    <x v="0"/>
    <n v="25"/>
    <n v="2500"/>
    <n v="62500"/>
    <n v="20.833333333333332"/>
    <n v="0.43999999999999995"/>
  </r>
  <r>
    <x v="22"/>
    <x v="10"/>
    <x v="1"/>
    <n v="30"/>
    <n v="3000"/>
    <n v="90000"/>
    <n v="20.833333333333332"/>
    <n v="-0.55555555555555558"/>
  </r>
  <r>
    <x v="23"/>
    <x v="11"/>
    <x v="2"/>
    <n v="20"/>
    <n v="2000"/>
    <n v="40000"/>
    <n v="20.83333333333333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2E406D-43EA-4D8F-BE7A-BA5A20B2E9A1}"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axis="axisRow"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dataField="1" numFmtId="166" showAll="0"/>
    <pivotField numFmtId="166" showAll="0"/>
    <pivotField numFmtId="173"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8"/>
    <field x="0"/>
    <field x="10"/>
  </rowFields>
  <rowItems count="13">
    <i>
      <x v="1"/>
    </i>
    <i>
      <x v="2"/>
    </i>
    <i>
      <x v="3"/>
    </i>
    <i>
      <x v="4"/>
    </i>
    <i>
      <x v="5"/>
    </i>
    <i>
      <x v="6"/>
    </i>
    <i>
      <x v="7"/>
    </i>
    <i>
      <x v="8"/>
    </i>
    <i>
      <x v="9"/>
    </i>
    <i>
      <x v="10"/>
    </i>
    <i>
      <x v="11"/>
    </i>
    <i>
      <x v="12"/>
    </i>
    <i t="grand">
      <x/>
    </i>
  </rowItems>
  <colItems count="1">
    <i/>
  </colItems>
  <dataFields count="1">
    <dataField name="Sum of Sales Amount" fld="4" baseField="0" baseItem="0" numFmtId="166"/>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7F7F25-A3CA-43B0-AE56-D95BF302BC40}" name="PivotTable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N8" firstHeaderRow="1" firstDataRow="2" firstDataCol="1"/>
  <pivotFields count="11">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13">
        <item x="11"/>
        <item x="10"/>
        <item x="9"/>
        <item x="8"/>
        <item x="7"/>
        <item x="6"/>
        <item x="5"/>
        <item x="4"/>
        <item x="3"/>
        <item x="2"/>
        <item x="1"/>
        <item x="0"/>
        <item t="default"/>
      </items>
    </pivotField>
    <pivotField axis="axisRow" showAll="0">
      <items count="4">
        <item x="0"/>
        <item x="1"/>
        <item x="2"/>
        <item t="default"/>
      </items>
    </pivotField>
    <pivotField showAll="0"/>
    <pivotField dataField="1" numFmtId="166" showAll="0"/>
    <pivotField numFmtId="166" showAll="0"/>
    <pivotField numFmtId="173" showAll="0"/>
    <pivotField numFmtId="9" showAll="0"/>
    <pivotField showAll="0" defaultSubtotal="0"/>
    <pivotField showAll="0" defaultSubtotal="0"/>
    <pivotField showAll="0" defaultSubtotal="0">
      <items count="4">
        <item x="0"/>
        <item x="1"/>
        <item x="2"/>
        <item x="3"/>
      </items>
    </pivotField>
  </pivotFields>
  <rowFields count="1">
    <field x="2"/>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Sum of Sales Amount" fld="4" baseField="0" baseItem="0" numFmtId="166"/>
  </dataFields>
  <chartFormats count="1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23FFA-267E-42D6-A7EA-B1824BEC9433}" name="PivotTable11" cacheId="5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N8" firstHeaderRow="1" firstDataRow="2" firstDataCol="1"/>
  <pivotFields count="11">
    <pivotField numFmtId="14"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13">
        <item x="11"/>
        <item x="10"/>
        <item x="9"/>
        <item x="8"/>
        <item x="7"/>
        <item x="6"/>
        <item x="5"/>
        <item x="4"/>
        <item x="3"/>
        <item x="2"/>
        <item x="1"/>
        <item x="0"/>
        <item t="default"/>
      </items>
    </pivotField>
    <pivotField axis="axisRow" showAll="0">
      <items count="4">
        <item x="0"/>
        <item x="1"/>
        <item x="2"/>
        <item t="default"/>
      </items>
    </pivotField>
    <pivotField dataField="1" showAll="0"/>
    <pivotField numFmtId="166" showAll="0"/>
    <pivotField numFmtId="166" showAll="0"/>
    <pivotField numFmtId="173" showAll="0"/>
    <pivotField numFmtId="9"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Sum of Units Sold" fld="3" baseField="0" baseItem="0"/>
  </dataFields>
  <formats count="1">
    <format dxfId="5">
      <pivotArea grandCol="1" outline="0" collapsedLevelsAreSubtotals="1" fieldPosition="0"/>
    </format>
  </formats>
  <chartFormats count="2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0"/>
          </reference>
          <reference field="1" count="1" selected="0">
            <x v="3"/>
          </reference>
        </references>
      </pivotArea>
    </chartFormat>
    <chartFormat chart="0" format="6" series="1">
      <pivotArea type="data" outline="0" fieldPosition="0">
        <references count="2">
          <reference field="4294967294" count="1" selected="0">
            <x v="0"/>
          </reference>
          <reference field="1" count="1" selected="0">
            <x v="4"/>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6"/>
          </reference>
        </references>
      </pivotArea>
    </chartFormat>
    <chartFormat chart="0" format="9" series="1">
      <pivotArea type="data" outline="0" fieldPosition="0">
        <references count="2">
          <reference field="4294967294" count="1" selected="0">
            <x v="0"/>
          </reference>
          <reference field="1" count="1" selected="0">
            <x v="7"/>
          </reference>
        </references>
      </pivotArea>
    </chartFormat>
    <chartFormat chart="0" format="10" series="1">
      <pivotArea type="data" outline="0" fieldPosition="0">
        <references count="2">
          <reference field="4294967294" count="1" selected="0">
            <x v="0"/>
          </reference>
          <reference field="1" count="1" selected="0">
            <x v="8"/>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1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 chart="2" format="8" series="1">
      <pivotArea type="data" outline="0" fieldPosition="0">
        <references count="2">
          <reference field="4294967294" count="1" selected="0">
            <x v="0"/>
          </reference>
          <reference field="1" count="1" selected="0">
            <x v="8"/>
          </reference>
        </references>
      </pivotArea>
    </chartFormat>
    <chartFormat chart="2" format="9" series="1">
      <pivotArea type="data" outline="0" fieldPosition="0">
        <references count="2">
          <reference field="4294967294" count="1" selected="0">
            <x v="0"/>
          </reference>
          <reference field="1" count="1" selected="0">
            <x v="9"/>
          </reference>
        </references>
      </pivotArea>
    </chartFormat>
    <chartFormat chart="2" format="10" series="1">
      <pivotArea type="data" outline="0" fieldPosition="0">
        <references count="2">
          <reference field="4294967294" count="1" selected="0">
            <x v="0"/>
          </reference>
          <reference field="1" count="1" selected="0">
            <x v="10"/>
          </reference>
        </references>
      </pivotArea>
    </chartFormat>
    <chartFormat chart="2" format="11"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8F338D-1D90-422E-A2D3-91796C377F11}" autoFormatId="16" applyNumberFormats="0" applyBorderFormats="0" applyFontFormats="0" applyPatternFormats="0" applyAlignmentFormats="0" applyWidthHeightFormats="0">
  <queryTableRefresh nextId="10" unboundColumnsRight="3">
    <queryTableFields count="8">
      <queryTableField id="1" name="Sale Date" tableColumnId="1"/>
      <queryTableField id="2" name="Product ID" tableColumnId="2"/>
      <queryTableField id="3" name="Region" tableColumnId="3"/>
      <queryTableField id="4" name="Units Sold" tableColumnId="4"/>
      <queryTableField id="5" name="Sales Amount" tableColumnId="5"/>
      <queryTableField id="6" dataBound="0"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Sale_Date" xr10:uid="{07500B1B-D3E2-4C9D-9760-561DEB1A06F7}" sourceName="Quarters (Sale Date)">
  <pivotTables>
    <pivotTable tabId="3" name="PivotTable1"/>
  </pivotTables>
  <data>
    <tabular pivotCacheId="112713155">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2A6D4665-E704-48E4-B5AF-78132458388D}" sourceName="Years (Sale Date)">
  <pivotTables>
    <pivotTable tabId="3" name="PivotTable1"/>
  </pivotTables>
  <data>
    <tabular pivotCacheId="112713155">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7C7CE886-4DC0-42E0-87B7-78EA9762B064}" sourceName="Product ID">
  <pivotTables>
    <pivotTable tabId="4" name="PivotTable2"/>
  </pivotTables>
  <data>
    <tabular pivotCacheId="112713155">
      <items count="12">
        <i x="11" s="1"/>
        <i x="10" s="1"/>
        <i x="9" s="1"/>
        <i x="8" s="1"/>
        <i x="7" s="1"/>
        <i x="6" s="1"/>
        <i x="5" s="1"/>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F3340B-7D4F-404A-98AF-2A220DFD49E2}" sourceName="Region">
  <pivotTables>
    <pivotTable tabId="4" name="PivotTable2"/>
  </pivotTables>
  <data>
    <tabular pivotCacheId="11271315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CD51B77-496A-4D86-B14D-2215B5F01316}" sourceName="[sales_data_over_years_PM0310].[Region]">
  <data>
    <olap pivotCacheId="1960342954">
      <levels count="2">
        <level uniqueName="[sales_data_over_years_PM0310].[Region].[(All)]" sourceCaption="(All)" count="0"/>
        <level uniqueName="[sales_data_over_years_PM0310].[Region].[Region]" sourceCaption="Region" count="3">
          <ranges>
            <range startItem="0">
              <i n="[sales_data_over_years_PM0310].[Region].&amp;[Asia]" c="Asia"/>
              <i n="[sales_data_over_years_PM0310].[Region].&amp;[Europe]" c="Europe"/>
              <i n="[sales_data_over_years_PM0310].[Region].&amp;[North America]" c="North America"/>
            </range>
          </ranges>
        </level>
      </levels>
      <selections count="1">
        <selection n="[sales_data_over_years_PM0310].[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7A5A8D05-8088-4CEB-AEEB-F9E867BEC583}" sourceName="Region">
  <pivotTables>
    <pivotTable tabId="7" name="PivotTable11"/>
  </pivotTables>
  <data>
    <tabular pivotCacheId="1127131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Sale Date)" xr10:uid="{B40CB31A-0189-482D-A037-07B1218FDF21}" cache="Slicer_Quarters__Sale_Date" caption="Quarters (Sale Date)" style="SlicerStyleDark3" rowHeight="234950"/>
  <slicer name="Years (Sale Date)" xr10:uid="{C7C6785F-5101-4734-A64B-848EB7DBEE30}" cache="Slicer_Years__Sale_Date" caption="Years (Sale Date)"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A2744656-E1ED-42A1-864D-4856A6B8661B}" cache="Slicer_Product_ID" caption="Product ID" style="SlicerStyleOther1" rowHeight="234950"/>
  <slicer name="Region" xr10:uid="{CF3C0D60-D19A-49B3-A933-D8647C0114A5}" cache="Slicer_Region" caption="Region"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48A99D4-5FEC-4771-B81E-243F8F68013A}" cache="Slicer_Region1" caption="Region"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BD9F14E-FCAF-43C5-9C7C-EC11DC1A7983}" cache="Slicer_Region2" caption="Region"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A5A4F9-902C-4AC4-910D-8405A3C111E4}" name="sales_data_over_years_PM0310" displayName="sales_data_over_years_PM0310" ref="A1:H25" tableType="queryTable" totalsRowShown="0">
  <autoFilter ref="A1:H25" xr:uid="{12A5A4F9-902C-4AC4-910D-8405A3C111E4}"/>
  <sortState xmlns:xlrd2="http://schemas.microsoft.com/office/spreadsheetml/2017/richdata2" ref="A2:H25">
    <sortCondition descending="1" ref="A2:A25"/>
  </sortState>
  <tableColumns count="8">
    <tableColumn id="1" xr3:uid="{0BB067DE-18C2-476A-B0BE-A94AF8F4C9B0}" uniqueName="1" name="Sale Date" queryTableFieldId="1" dataDxfId="15"/>
    <tableColumn id="2" xr3:uid="{DBF1C10D-098B-4E1E-926A-AB3AE0BEC8A3}" uniqueName="2" name="Product ID" queryTableFieldId="2"/>
    <tableColumn id="3" xr3:uid="{1A0CFB9C-4ACA-40D1-8F59-EC9BDAD440C3}" uniqueName="3" name="Region" queryTableFieldId="3" dataDxfId="14"/>
    <tableColumn id="4" xr3:uid="{175F68CD-D25F-4D6C-A8D9-CB389363FC83}" uniqueName="4" name="Units Sold" queryTableFieldId="4"/>
    <tableColumn id="5" xr3:uid="{FE39E9C0-4A88-4D72-BB92-BD9EC9A861EF}" uniqueName="5" name="Sales Amount" queryTableFieldId="5" dataDxfId="13"/>
    <tableColumn id="6" xr3:uid="{2FC06724-ABC4-46C5-8749-6BEE55837B31}" uniqueName="6" name="Total Sales" queryTableFieldId="6" dataDxfId="12">
      <calculatedColumnFormula>sales_data_over_years_PM0310[[#This Row],[Units Sold]]*sales_data_over_years_PM0310[[#This Row],[Sales Amount]]</calculatedColumnFormula>
    </tableColumn>
    <tableColumn id="7" xr3:uid="{66B667DC-E292-4804-B667-C0AEDA6A3B85}" uniqueName="7" name="Average Units Sold" queryTableFieldId="7" dataDxfId="11">
      <calculatedColumnFormula>AVERAGE(sales_data_over_years_PM0310[Units Sold])</calculatedColumnFormula>
    </tableColumn>
    <tableColumn id="8" xr3:uid="{2E72DDBB-F372-40A3-A90F-FD979AEC9EE6}" uniqueName="8" name="Sales growth Rate" queryTableFieldId="8" dataDxfId="10">
      <calculatedColumnFormula>F3/sales_data_over_years_PM0310[[#This Row],[Total Sales]] - 1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87ACC106-C5BD-42D9-8B50-901171A03D20}" sourceName="Sale Date">
  <pivotTables>
    <pivotTable tabId="7" name="PivotTable11"/>
  </pivotTables>
  <state minimalRefreshVersion="6" lastRefreshVersion="6" pivotCacheId="112713155"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A9AC0B89-1A8E-4BCD-AF0E-D7123B0CA063}" cache="NativeTimeline_Sale_Date" caption="Sale Date" level="2" selectionLevel="2" scrollPosition="2022-02-21T00:00:00" style="TimeSlicerStyleLight5"/>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6CFD5-DEA2-4D95-ADE1-976BB46C06B1}">
  <dimension ref="A3:B16"/>
  <sheetViews>
    <sheetView tabSelected="1" workbookViewId="0">
      <selection activeCell="N23" sqref="N23"/>
    </sheetView>
  </sheetViews>
  <sheetFormatPr defaultRowHeight="14.4" x14ac:dyDescent="0.3"/>
  <cols>
    <col min="1" max="1" width="12.77734375" bestFit="1" customWidth="1"/>
    <col min="2" max="2" width="19.44140625" bestFit="1" customWidth="1"/>
  </cols>
  <sheetData>
    <row r="3" spans="1:2" x14ac:dyDescent="0.3">
      <c r="A3" s="7" t="s">
        <v>11</v>
      </c>
      <c r="B3" t="s">
        <v>25</v>
      </c>
    </row>
    <row r="4" spans="1:2" x14ac:dyDescent="0.3">
      <c r="A4" s="8" t="s">
        <v>13</v>
      </c>
      <c r="B4" s="4">
        <v>4500</v>
      </c>
    </row>
    <row r="5" spans="1:2" x14ac:dyDescent="0.3">
      <c r="A5" s="8" t="s">
        <v>14</v>
      </c>
      <c r="B5" s="4">
        <v>4500</v>
      </c>
    </row>
    <row r="6" spans="1:2" x14ac:dyDescent="0.3">
      <c r="A6" s="8" t="s">
        <v>15</v>
      </c>
      <c r="B6" s="4">
        <v>5500</v>
      </c>
    </row>
    <row r="7" spans="1:2" x14ac:dyDescent="0.3">
      <c r="A7" s="8" t="s">
        <v>16</v>
      </c>
      <c r="B7" s="4">
        <v>3000</v>
      </c>
    </row>
    <row r="8" spans="1:2" x14ac:dyDescent="0.3">
      <c r="A8" s="8" t="s">
        <v>17</v>
      </c>
      <c r="B8" s="4">
        <v>4000</v>
      </c>
    </row>
    <row r="9" spans="1:2" x14ac:dyDescent="0.3">
      <c r="A9" s="8" t="s">
        <v>18</v>
      </c>
      <c r="B9" s="4">
        <v>4500</v>
      </c>
    </row>
    <row r="10" spans="1:2" x14ac:dyDescent="0.3">
      <c r="A10" s="8" t="s">
        <v>19</v>
      </c>
      <c r="B10" s="4">
        <v>4500</v>
      </c>
    </row>
    <row r="11" spans="1:2" x14ac:dyDescent="0.3">
      <c r="A11" s="8" t="s">
        <v>20</v>
      </c>
      <c r="B11" s="4">
        <v>4500</v>
      </c>
    </row>
    <row r="12" spans="1:2" x14ac:dyDescent="0.3">
      <c r="A12" s="8" t="s">
        <v>21</v>
      </c>
      <c r="B12" s="4">
        <v>2500</v>
      </c>
    </row>
    <row r="13" spans="1:2" x14ac:dyDescent="0.3">
      <c r="A13" s="8" t="s">
        <v>22</v>
      </c>
      <c r="B13" s="4">
        <v>4000</v>
      </c>
    </row>
    <row r="14" spans="1:2" x14ac:dyDescent="0.3">
      <c r="A14" s="8" t="s">
        <v>23</v>
      </c>
      <c r="B14" s="4">
        <v>5000</v>
      </c>
    </row>
    <row r="15" spans="1:2" x14ac:dyDescent="0.3">
      <c r="A15" s="8" t="s">
        <v>24</v>
      </c>
      <c r="B15" s="4">
        <v>3500</v>
      </c>
    </row>
    <row r="16" spans="1:2" x14ac:dyDescent="0.3">
      <c r="A16" s="8" t="s">
        <v>12</v>
      </c>
      <c r="B16" s="4">
        <v>50000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88A6-304E-487A-B658-8C2049E110E4}">
  <dimension ref="A3:N8"/>
  <sheetViews>
    <sheetView workbookViewId="0">
      <selection activeCell="H36" sqref="H36"/>
    </sheetView>
  </sheetViews>
  <sheetFormatPr defaultRowHeight="14.4" x14ac:dyDescent="0.3"/>
  <cols>
    <col min="1" max="1" width="19.44140625" bestFit="1" customWidth="1"/>
    <col min="2" max="2" width="15.77734375" bestFit="1" customWidth="1"/>
    <col min="3" max="13" width="6.6640625" bestFit="1" customWidth="1"/>
    <col min="14" max="14" width="11" bestFit="1" customWidth="1"/>
  </cols>
  <sheetData>
    <row r="3" spans="1:14" x14ac:dyDescent="0.3">
      <c r="A3" s="7" t="s">
        <v>25</v>
      </c>
      <c r="B3" s="7" t="s">
        <v>26</v>
      </c>
    </row>
    <row r="4" spans="1:14" x14ac:dyDescent="0.3">
      <c r="A4" s="7" t="s">
        <v>11</v>
      </c>
      <c r="B4">
        <v>101</v>
      </c>
      <c r="C4">
        <v>102</v>
      </c>
      <c r="D4">
        <v>103</v>
      </c>
      <c r="E4">
        <v>104</v>
      </c>
      <c r="F4">
        <v>105</v>
      </c>
      <c r="G4">
        <v>106</v>
      </c>
      <c r="H4">
        <v>107</v>
      </c>
      <c r="I4">
        <v>108</v>
      </c>
      <c r="J4">
        <v>109</v>
      </c>
      <c r="K4">
        <v>110</v>
      </c>
      <c r="L4">
        <v>111</v>
      </c>
      <c r="M4">
        <v>112</v>
      </c>
      <c r="N4" t="s">
        <v>12</v>
      </c>
    </row>
    <row r="5" spans="1:14" x14ac:dyDescent="0.3">
      <c r="A5" s="8" t="s">
        <v>7</v>
      </c>
      <c r="B5" s="4"/>
      <c r="C5" s="4"/>
      <c r="D5" s="4">
        <v>5500</v>
      </c>
      <c r="E5" s="4"/>
      <c r="F5" s="4"/>
      <c r="G5" s="4">
        <v>4500</v>
      </c>
      <c r="H5" s="4"/>
      <c r="I5" s="4"/>
      <c r="J5" s="4">
        <v>2500</v>
      </c>
      <c r="K5" s="4"/>
      <c r="L5" s="4"/>
      <c r="M5" s="4">
        <v>3500</v>
      </c>
      <c r="N5" s="4">
        <v>16000</v>
      </c>
    </row>
    <row r="6" spans="1:14" x14ac:dyDescent="0.3">
      <c r="A6" s="8" t="s">
        <v>6</v>
      </c>
      <c r="B6" s="4"/>
      <c r="C6" s="4">
        <v>4500</v>
      </c>
      <c r="D6" s="4"/>
      <c r="E6" s="4"/>
      <c r="F6" s="4">
        <v>4000</v>
      </c>
      <c r="G6" s="4"/>
      <c r="H6" s="4"/>
      <c r="I6" s="4">
        <v>4500</v>
      </c>
      <c r="J6" s="4"/>
      <c r="K6" s="4"/>
      <c r="L6" s="4">
        <v>5000</v>
      </c>
      <c r="M6" s="4"/>
      <c r="N6" s="4">
        <v>18000</v>
      </c>
    </row>
    <row r="7" spans="1:14" x14ac:dyDescent="0.3">
      <c r="A7" s="8" t="s">
        <v>5</v>
      </c>
      <c r="B7" s="4">
        <v>4500</v>
      </c>
      <c r="C7" s="4"/>
      <c r="D7" s="4"/>
      <c r="E7" s="4">
        <v>3000</v>
      </c>
      <c r="F7" s="4"/>
      <c r="G7" s="4"/>
      <c r="H7" s="4">
        <v>4500</v>
      </c>
      <c r="I7" s="4"/>
      <c r="J7" s="4"/>
      <c r="K7" s="4">
        <v>4000</v>
      </c>
      <c r="L7" s="4"/>
      <c r="M7" s="4"/>
      <c r="N7" s="4">
        <v>16000</v>
      </c>
    </row>
    <row r="8" spans="1:14" x14ac:dyDescent="0.3">
      <c r="A8" s="8" t="s">
        <v>12</v>
      </c>
      <c r="B8" s="4">
        <v>4500</v>
      </c>
      <c r="C8" s="4">
        <v>4500</v>
      </c>
      <c r="D8" s="4">
        <v>5500</v>
      </c>
      <c r="E8" s="4">
        <v>3000</v>
      </c>
      <c r="F8" s="4">
        <v>4000</v>
      </c>
      <c r="G8" s="4">
        <v>4500</v>
      </c>
      <c r="H8" s="4">
        <v>4500</v>
      </c>
      <c r="I8" s="4">
        <v>4500</v>
      </c>
      <c r="J8" s="4">
        <v>2500</v>
      </c>
      <c r="K8" s="4">
        <v>4000</v>
      </c>
      <c r="L8" s="4">
        <v>5000</v>
      </c>
      <c r="M8" s="4">
        <v>3500</v>
      </c>
      <c r="N8" s="4">
        <v>50000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B9CB-84BB-41D3-8D05-3E38AAD93808}">
  <dimension ref="A3:C7"/>
  <sheetViews>
    <sheetView workbookViewId="0">
      <selection activeCell="G18" sqref="G18"/>
    </sheetView>
  </sheetViews>
  <sheetFormatPr defaultRowHeight="14.4" x14ac:dyDescent="0.3"/>
  <cols>
    <col min="1" max="1" width="13.5546875" bestFit="1" customWidth="1"/>
    <col min="2" max="2" width="16.44140625" bestFit="1" customWidth="1"/>
    <col min="3" max="3" width="19.44140625" bestFit="1" customWidth="1"/>
  </cols>
  <sheetData>
    <row r="3" spans="1:3" x14ac:dyDescent="0.3">
      <c r="A3" t="s">
        <v>2</v>
      </c>
      <c r="B3" t="str" vm="6">
        <f>CUBEMEMBER("ThisWorkbookDataModel","[Measures].[Sum of Product ID]")</f>
        <v>Sum of Product ID</v>
      </c>
      <c r="C3" t="str" vm="5">
        <f>CUBEMEMBER("ThisWorkbookDataModel","[Measures].[Sum of Sales Amount]")</f>
        <v>Sum of Sales Amount</v>
      </c>
    </row>
    <row r="4" spans="1:3" x14ac:dyDescent="0.3">
      <c r="A4" t="str" vm="4">
        <f>CUBEMEMBER("ThisWorkbookDataModel","[sales_data_over_years_PM0310].[Region].&amp;[Asia]")</f>
        <v>Asia</v>
      </c>
      <c r="B4" vm="7">
        <f>CUBEVALUE("ThisWorkbookDataModel",$A4,B$3)</f>
        <v>860</v>
      </c>
      <c r="C4" s="4" vm="8">
        <f>CUBEVALUE("ThisWorkbookDataModel",$A4,C$3)</f>
        <v>16000</v>
      </c>
    </row>
    <row r="5" spans="1:3" x14ac:dyDescent="0.3">
      <c r="A5" t="str" vm="3">
        <f>CUBEMEMBER("ThisWorkbookDataModel","[sales_data_over_years_PM0310].[Region].&amp;[Europe]")</f>
        <v>Europe</v>
      </c>
      <c r="B5" vm="12">
        <f>CUBEVALUE("ThisWorkbookDataModel",$A5,B$3)</f>
        <v>852</v>
      </c>
      <c r="C5" s="4" vm="9">
        <f>CUBEVALUE("ThisWorkbookDataModel",$A5,C$3)</f>
        <v>18000</v>
      </c>
    </row>
    <row r="6" spans="1:3" x14ac:dyDescent="0.3">
      <c r="A6" t="str" vm="2">
        <f>CUBEMEMBER("ThisWorkbookDataModel","[sales_data_over_years_PM0310].[Region].&amp;[North America]")</f>
        <v>North America</v>
      </c>
      <c r="B6" vm="13">
        <f>CUBEVALUE("ThisWorkbookDataModel",$A6,B$3)</f>
        <v>844</v>
      </c>
      <c r="C6" s="4" vm="10">
        <f>CUBEVALUE("ThisWorkbookDataModel",$A6,C$3)</f>
        <v>16000</v>
      </c>
    </row>
    <row r="7" spans="1:3" x14ac:dyDescent="0.3">
      <c r="A7" t="str" vm="1">
        <f>CUBEMEMBER("ThisWorkbookDataModel","[sales_data_over_years_PM0310].[Region].[All]","Grand Total")</f>
        <v>Grand Total</v>
      </c>
      <c r="B7" vm="14">
        <f>CUBEVALUE("ThisWorkbookDataModel",$A7,B$3)</f>
        <v>2556</v>
      </c>
      <c r="C7" s="4" vm="11">
        <f>CUBEVALUE("ThisWorkbookDataModel",$A7,C$3)</f>
        <v>50000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1D90E-0834-4110-AD62-AFDD13C9D676}">
  <dimension ref="A3:N8"/>
  <sheetViews>
    <sheetView workbookViewId="0">
      <selection activeCell="R18" sqref="R18"/>
    </sheetView>
  </sheetViews>
  <sheetFormatPr defaultRowHeight="14.4" x14ac:dyDescent="0.3"/>
  <cols>
    <col min="1" max="1" width="16.21875" bestFit="1" customWidth="1"/>
    <col min="2" max="2" width="15.77734375" bestFit="1" customWidth="1"/>
    <col min="3" max="13" width="4" bestFit="1" customWidth="1"/>
    <col min="14" max="14" width="11" style="3" bestFit="1" customWidth="1"/>
  </cols>
  <sheetData>
    <row r="3" spans="1:14" x14ac:dyDescent="0.3">
      <c r="A3" s="7" t="s">
        <v>27</v>
      </c>
      <c r="B3" s="7" t="s">
        <v>26</v>
      </c>
      <c r="N3"/>
    </row>
    <row r="4" spans="1:14" x14ac:dyDescent="0.3">
      <c r="A4" s="7" t="s">
        <v>11</v>
      </c>
      <c r="B4">
        <v>101</v>
      </c>
      <c r="C4">
        <v>102</v>
      </c>
      <c r="D4">
        <v>103</v>
      </c>
      <c r="E4">
        <v>104</v>
      </c>
      <c r="F4">
        <v>105</v>
      </c>
      <c r="G4">
        <v>106</v>
      </c>
      <c r="H4">
        <v>107</v>
      </c>
      <c r="I4">
        <v>108</v>
      </c>
      <c r="J4">
        <v>109</v>
      </c>
      <c r="K4">
        <v>110</v>
      </c>
      <c r="L4">
        <v>111</v>
      </c>
      <c r="M4">
        <v>112</v>
      </c>
      <c r="N4" t="s">
        <v>12</v>
      </c>
    </row>
    <row r="5" spans="1:14" x14ac:dyDescent="0.3">
      <c r="A5" s="8" t="s">
        <v>7</v>
      </c>
      <c r="B5" s="2"/>
      <c r="C5" s="2"/>
      <c r="D5" s="2">
        <v>55</v>
      </c>
      <c r="E5" s="2"/>
      <c r="F5" s="2"/>
      <c r="G5" s="2">
        <v>45</v>
      </c>
      <c r="H5" s="2"/>
      <c r="I5" s="2"/>
      <c r="J5" s="2">
        <v>25</v>
      </c>
      <c r="K5" s="2"/>
      <c r="L5" s="2"/>
      <c r="M5" s="2">
        <v>35</v>
      </c>
      <c r="N5" s="4">
        <v>160</v>
      </c>
    </row>
    <row r="6" spans="1:14" x14ac:dyDescent="0.3">
      <c r="A6" s="8" t="s">
        <v>6</v>
      </c>
      <c r="B6" s="2"/>
      <c r="C6" s="2">
        <v>45</v>
      </c>
      <c r="D6" s="2"/>
      <c r="E6" s="2"/>
      <c r="F6" s="2">
        <v>40</v>
      </c>
      <c r="G6" s="2"/>
      <c r="H6" s="2"/>
      <c r="I6" s="2">
        <v>45</v>
      </c>
      <c r="J6" s="2"/>
      <c r="K6" s="2"/>
      <c r="L6" s="2">
        <v>50</v>
      </c>
      <c r="M6" s="2"/>
      <c r="N6" s="4">
        <v>180</v>
      </c>
    </row>
    <row r="7" spans="1:14" x14ac:dyDescent="0.3">
      <c r="A7" s="8" t="s">
        <v>5</v>
      </c>
      <c r="B7" s="2">
        <v>45</v>
      </c>
      <c r="C7" s="2"/>
      <c r="D7" s="2"/>
      <c r="E7" s="2">
        <v>30</v>
      </c>
      <c r="F7" s="2"/>
      <c r="G7" s="2"/>
      <c r="H7" s="2">
        <v>45</v>
      </c>
      <c r="I7" s="2"/>
      <c r="J7" s="2"/>
      <c r="K7" s="2">
        <v>40</v>
      </c>
      <c r="L7" s="2"/>
      <c r="M7" s="2"/>
      <c r="N7" s="4">
        <v>160</v>
      </c>
    </row>
    <row r="8" spans="1:14" x14ac:dyDescent="0.3">
      <c r="A8" s="8" t="s">
        <v>12</v>
      </c>
      <c r="B8" s="2">
        <v>45</v>
      </c>
      <c r="C8" s="2">
        <v>45</v>
      </c>
      <c r="D8" s="2">
        <v>55</v>
      </c>
      <c r="E8" s="2">
        <v>30</v>
      </c>
      <c r="F8" s="2">
        <v>40</v>
      </c>
      <c r="G8" s="2">
        <v>45</v>
      </c>
      <c r="H8" s="2">
        <v>45</v>
      </c>
      <c r="I8" s="2">
        <v>45</v>
      </c>
      <c r="J8" s="2">
        <v>25</v>
      </c>
      <c r="K8" s="2">
        <v>40</v>
      </c>
      <c r="L8" s="2">
        <v>50</v>
      </c>
      <c r="M8" s="2">
        <v>35</v>
      </c>
      <c r="N8" s="4">
        <v>500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7DE59-3702-43CD-AD4A-A2095C6C3343}">
  <dimension ref="A1:H25"/>
  <sheetViews>
    <sheetView workbookViewId="0">
      <selection activeCell="A2" sqref="A2"/>
    </sheetView>
  </sheetViews>
  <sheetFormatPr defaultRowHeight="14.4" x14ac:dyDescent="0.3"/>
  <cols>
    <col min="1" max="1" width="11.21875" bestFit="1" customWidth="1"/>
    <col min="2" max="2" width="12.109375" bestFit="1" customWidth="1"/>
    <col min="3" max="3" width="13.5546875" bestFit="1" customWidth="1"/>
    <col min="4" max="4" width="11.88671875" bestFit="1" customWidth="1"/>
    <col min="5" max="5" width="15.109375" style="4" bestFit="1" customWidth="1"/>
    <col min="6" max="6" width="12.33203125" bestFit="1" customWidth="1"/>
    <col min="7" max="7" width="19.33203125" bestFit="1" customWidth="1"/>
    <col min="8" max="8" width="18" style="5" bestFit="1" customWidth="1"/>
  </cols>
  <sheetData>
    <row r="1" spans="1:8" x14ac:dyDescent="0.3">
      <c r="A1" t="s">
        <v>0</v>
      </c>
      <c r="B1" t="s">
        <v>1</v>
      </c>
      <c r="C1" t="s">
        <v>2</v>
      </c>
      <c r="D1" t="s">
        <v>3</v>
      </c>
      <c r="E1" s="4" t="s">
        <v>4</v>
      </c>
      <c r="F1" t="s">
        <v>8</v>
      </c>
      <c r="G1" t="s">
        <v>9</v>
      </c>
      <c r="H1" s="5" t="s">
        <v>10</v>
      </c>
    </row>
    <row r="2" spans="1:8" x14ac:dyDescent="0.3">
      <c r="A2" s="1">
        <v>45290</v>
      </c>
      <c r="B2">
        <v>112</v>
      </c>
      <c r="C2" s="2" t="s">
        <v>7</v>
      </c>
      <c r="D2">
        <v>20</v>
      </c>
      <c r="E2" s="4">
        <v>2000</v>
      </c>
      <c r="F2" s="4">
        <f>sales_data_over_years_PM0310[[#This Row],[Units Sold]]*sales_data_over_years_PM0310[[#This Row],[Sales Amount]]</f>
        <v>40000</v>
      </c>
      <c r="G2" s="6">
        <f>AVERAGE(sales_data_over_years_PM0310[Units Sold])</f>
        <v>20.833333333333332</v>
      </c>
      <c r="H2" s="5">
        <f>F3/sales_data_over_years_PM0310[[#This Row],[Total Sales]] - 1</f>
        <v>1.25</v>
      </c>
    </row>
    <row r="3" spans="1:8" x14ac:dyDescent="0.3">
      <c r="A3" s="1">
        <v>45255</v>
      </c>
      <c r="B3">
        <v>111</v>
      </c>
      <c r="C3" s="2" t="s">
        <v>6</v>
      </c>
      <c r="D3">
        <v>30</v>
      </c>
      <c r="E3" s="4">
        <v>3000</v>
      </c>
      <c r="F3" s="4">
        <f>sales_data_over_years_PM0310[[#This Row],[Units Sold]]*sales_data_over_years_PM0310[[#This Row],[Sales Amount]]</f>
        <v>90000</v>
      </c>
      <c r="G3" s="6">
        <f>AVERAGE(sales_data_over_years_PM0310[Units Sold])</f>
        <v>20.833333333333332</v>
      </c>
      <c r="H3" s="5">
        <f>F4/sales_data_over_years_PM0310[[#This Row],[Total Sales]] - 1</f>
        <v>-0.88888888888888884</v>
      </c>
    </row>
    <row r="4" spans="1:8" x14ac:dyDescent="0.3">
      <c r="A4" s="1">
        <v>45219</v>
      </c>
      <c r="B4">
        <v>110</v>
      </c>
      <c r="C4" s="2" t="s">
        <v>5</v>
      </c>
      <c r="D4">
        <v>10</v>
      </c>
      <c r="E4" s="4">
        <v>1000</v>
      </c>
      <c r="F4" s="4">
        <f>sales_data_over_years_PM0310[[#This Row],[Units Sold]]*sales_data_over_years_PM0310[[#This Row],[Sales Amount]]</f>
        <v>10000</v>
      </c>
      <c r="G4" s="6">
        <f>AVERAGE(sales_data_over_years_PM0310[Units Sold])</f>
        <v>20.833333333333332</v>
      </c>
      <c r="H4" s="5">
        <f>F5/sales_data_over_years_PM0310[[#This Row],[Total Sales]] - 1</f>
        <v>1.25</v>
      </c>
    </row>
    <row r="5" spans="1:8" x14ac:dyDescent="0.3">
      <c r="A5" s="1">
        <v>45184</v>
      </c>
      <c r="B5">
        <v>109</v>
      </c>
      <c r="C5" s="2" t="s">
        <v>7</v>
      </c>
      <c r="D5">
        <v>15</v>
      </c>
      <c r="E5" s="4">
        <v>1500</v>
      </c>
      <c r="F5" s="4">
        <f>sales_data_over_years_PM0310[[#This Row],[Units Sold]]*sales_data_over_years_PM0310[[#This Row],[Sales Amount]]</f>
        <v>22500</v>
      </c>
      <c r="G5" s="6">
        <f>AVERAGE(sales_data_over_years_PM0310[Units Sold])</f>
        <v>20.833333333333332</v>
      </c>
      <c r="H5" s="5">
        <f>F6/sales_data_over_years_PM0310[[#This Row],[Total Sales]] - 1</f>
        <v>0.77777777777777768</v>
      </c>
    </row>
    <row r="6" spans="1:8" x14ac:dyDescent="0.3">
      <c r="A6" s="1">
        <v>45148</v>
      </c>
      <c r="B6">
        <v>108</v>
      </c>
      <c r="C6" s="2" t="s">
        <v>6</v>
      </c>
      <c r="D6">
        <v>20</v>
      </c>
      <c r="E6" s="4">
        <v>2000</v>
      </c>
      <c r="F6" s="4">
        <f>sales_data_over_years_PM0310[[#This Row],[Units Sold]]*sales_data_over_years_PM0310[[#This Row],[Sales Amount]]</f>
        <v>40000</v>
      </c>
      <c r="G6" s="6">
        <f>AVERAGE(sales_data_over_years_PM0310[Units Sold])</f>
        <v>20.833333333333332</v>
      </c>
      <c r="H6" s="5">
        <f>F7/sales_data_over_years_PM0310[[#This Row],[Total Sales]] - 1</f>
        <v>1.25</v>
      </c>
    </row>
    <row r="7" spans="1:8" x14ac:dyDescent="0.3">
      <c r="A7" s="1">
        <v>45112</v>
      </c>
      <c r="B7">
        <v>107</v>
      </c>
      <c r="C7" s="2" t="s">
        <v>5</v>
      </c>
      <c r="D7">
        <v>30</v>
      </c>
      <c r="E7" s="4">
        <v>3000</v>
      </c>
      <c r="F7" s="4">
        <f>sales_data_over_years_PM0310[[#This Row],[Units Sold]]*sales_data_over_years_PM0310[[#This Row],[Sales Amount]]</f>
        <v>90000</v>
      </c>
      <c r="G7" s="6">
        <f>AVERAGE(sales_data_over_years_PM0310[Units Sold])</f>
        <v>20.833333333333332</v>
      </c>
      <c r="H7" s="5">
        <f>F8/sales_data_over_years_PM0310[[#This Row],[Total Sales]] - 1</f>
        <v>-0.30555555555555558</v>
      </c>
    </row>
    <row r="8" spans="1:8" x14ac:dyDescent="0.3">
      <c r="A8" s="1">
        <v>45107</v>
      </c>
      <c r="B8">
        <v>106</v>
      </c>
      <c r="C8" s="2" t="s">
        <v>7</v>
      </c>
      <c r="D8">
        <v>25</v>
      </c>
      <c r="E8" s="4">
        <v>2500</v>
      </c>
      <c r="F8" s="4">
        <f>sales_data_over_years_PM0310[[#This Row],[Units Sold]]*sales_data_over_years_PM0310[[#This Row],[Sales Amount]]</f>
        <v>62500</v>
      </c>
      <c r="G8" s="6">
        <f>AVERAGE(sales_data_over_years_PM0310[Units Sold])</f>
        <v>20.833333333333332</v>
      </c>
      <c r="H8" s="5">
        <f>F9/sales_data_over_years_PM0310[[#This Row],[Total Sales]] - 1</f>
        <v>-0.84</v>
      </c>
    </row>
    <row r="9" spans="1:8" x14ac:dyDescent="0.3">
      <c r="A9" s="1">
        <v>45071</v>
      </c>
      <c r="B9">
        <v>105</v>
      </c>
      <c r="C9" s="2" t="s">
        <v>6</v>
      </c>
      <c r="D9">
        <v>10</v>
      </c>
      <c r="E9" s="4">
        <v>1000</v>
      </c>
      <c r="F9" s="4">
        <f>sales_data_over_years_PM0310[[#This Row],[Units Sold]]*sales_data_over_years_PM0310[[#This Row],[Sales Amount]]</f>
        <v>10000</v>
      </c>
      <c r="G9" s="6">
        <f>AVERAGE(sales_data_over_years_PM0310[Units Sold])</f>
        <v>20.833333333333332</v>
      </c>
      <c r="H9" s="5">
        <f>F10/sales_data_over_years_PM0310[[#This Row],[Total Sales]] - 1</f>
        <v>3</v>
      </c>
    </row>
    <row r="10" spans="1:8" x14ac:dyDescent="0.3">
      <c r="A10" s="1">
        <v>45036</v>
      </c>
      <c r="B10">
        <v>104</v>
      </c>
      <c r="C10" s="2" t="s">
        <v>5</v>
      </c>
      <c r="D10">
        <v>20</v>
      </c>
      <c r="E10" s="4">
        <v>2000</v>
      </c>
      <c r="F10" s="4">
        <f>sales_data_over_years_PM0310[[#This Row],[Units Sold]]*sales_data_over_years_PM0310[[#This Row],[Sales Amount]]</f>
        <v>40000</v>
      </c>
      <c r="G10" s="6">
        <f>AVERAGE(sales_data_over_years_PM0310[Units Sold])</f>
        <v>20.833333333333332</v>
      </c>
      <c r="H10" s="5">
        <f>F11/sales_data_over_years_PM0310[[#This Row],[Total Sales]] - 1</f>
        <v>1.25</v>
      </c>
    </row>
    <row r="11" spans="1:8" x14ac:dyDescent="0.3">
      <c r="A11" s="1">
        <v>45000</v>
      </c>
      <c r="B11">
        <v>103</v>
      </c>
      <c r="C11" s="2" t="s">
        <v>7</v>
      </c>
      <c r="D11">
        <v>30</v>
      </c>
      <c r="E11" s="4">
        <v>3000</v>
      </c>
      <c r="F11" s="4">
        <f>sales_data_over_years_PM0310[[#This Row],[Units Sold]]*sales_data_over_years_PM0310[[#This Row],[Sales Amount]]</f>
        <v>90000</v>
      </c>
      <c r="G11" s="6">
        <f>AVERAGE(sales_data_over_years_PM0310[Units Sold])</f>
        <v>20.833333333333332</v>
      </c>
      <c r="H11" s="5">
        <f>F12/sales_data_over_years_PM0310[[#This Row],[Total Sales]] - 1</f>
        <v>-0.75</v>
      </c>
    </row>
    <row r="12" spans="1:8" x14ac:dyDescent="0.3">
      <c r="A12" s="1">
        <v>44967</v>
      </c>
      <c r="B12">
        <v>102</v>
      </c>
      <c r="C12" s="2" t="s">
        <v>6</v>
      </c>
      <c r="D12">
        <v>15</v>
      </c>
      <c r="E12" s="4">
        <v>1500</v>
      </c>
      <c r="F12" s="4">
        <f>sales_data_over_years_PM0310[[#This Row],[Units Sold]]*sales_data_over_years_PM0310[[#This Row],[Sales Amount]]</f>
        <v>22500</v>
      </c>
      <c r="G12" s="6">
        <f>AVERAGE(sales_data_over_years_PM0310[Units Sold])</f>
        <v>20.833333333333332</v>
      </c>
      <c r="H12" s="5">
        <f>F13/sales_data_over_years_PM0310[[#This Row],[Total Sales]] - 1</f>
        <v>1.7777777777777777</v>
      </c>
    </row>
    <row r="13" spans="1:8" x14ac:dyDescent="0.3">
      <c r="A13" s="1">
        <v>44931</v>
      </c>
      <c r="B13">
        <v>101</v>
      </c>
      <c r="C13" s="2" t="s">
        <v>5</v>
      </c>
      <c r="D13">
        <v>25</v>
      </c>
      <c r="E13" s="4">
        <v>2500</v>
      </c>
      <c r="F13" s="4">
        <f>sales_data_over_years_PM0310[[#This Row],[Units Sold]]*sales_data_over_years_PM0310[[#This Row],[Sales Amount]]</f>
        <v>62500</v>
      </c>
      <c r="G13" s="6">
        <f>AVERAGE(sales_data_over_years_PM0310[Units Sold])</f>
        <v>20.833333333333332</v>
      </c>
      <c r="H13" s="5">
        <f>F14/sales_data_over_years_PM0310[[#This Row],[Total Sales]] - 1</f>
        <v>-0.64</v>
      </c>
    </row>
    <row r="14" spans="1:8" x14ac:dyDescent="0.3">
      <c r="A14" s="1">
        <v>44925</v>
      </c>
      <c r="B14">
        <v>112</v>
      </c>
      <c r="C14" s="2" t="s">
        <v>7</v>
      </c>
      <c r="D14">
        <v>15</v>
      </c>
      <c r="E14" s="4">
        <v>1500</v>
      </c>
      <c r="F14" s="4">
        <f>sales_data_over_years_PM0310[[#This Row],[Units Sold]]*sales_data_over_years_PM0310[[#This Row],[Sales Amount]]</f>
        <v>22500</v>
      </c>
      <c r="G14" s="6">
        <f>AVERAGE(sales_data_over_years_PM0310[Units Sold])</f>
        <v>20.833333333333332</v>
      </c>
      <c r="H14" s="5">
        <f>F15/sales_data_over_years_PM0310[[#This Row],[Total Sales]] - 1</f>
        <v>0.77777777777777768</v>
      </c>
    </row>
    <row r="15" spans="1:8" x14ac:dyDescent="0.3">
      <c r="A15" s="1">
        <v>44890</v>
      </c>
      <c r="B15">
        <v>111</v>
      </c>
      <c r="C15" s="2" t="s">
        <v>6</v>
      </c>
      <c r="D15">
        <v>20</v>
      </c>
      <c r="E15" s="4">
        <v>2000</v>
      </c>
      <c r="F15" s="4">
        <f>sales_data_over_years_PM0310[[#This Row],[Units Sold]]*sales_data_over_years_PM0310[[#This Row],[Sales Amount]]</f>
        <v>40000</v>
      </c>
      <c r="G15" s="6">
        <f>AVERAGE(sales_data_over_years_PM0310[Units Sold])</f>
        <v>20.833333333333332</v>
      </c>
      <c r="H15" s="5">
        <f>F16/sales_data_over_years_PM0310[[#This Row],[Total Sales]] - 1</f>
        <v>1.25</v>
      </c>
    </row>
    <row r="16" spans="1:8" x14ac:dyDescent="0.3">
      <c r="A16" s="1">
        <v>44854</v>
      </c>
      <c r="B16">
        <v>110</v>
      </c>
      <c r="C16" s="2" t="s">
        <v>5</v>
      </c>
      <c r="D16">
        <v>30</v>
      </c>
      <c r="E16" s="4">
        <v>3000</v>
      </c>
      <c r="F16" s="4">
        <f>sales_data_over_years_PM0310[[#This Row],[Units Sold]]*sales_data_over_years_PM0310[[#This Row],[Sales Amount]]</f>
        <v>90000</v>
      </c>
      <c r="G16" s="6">
        <f>AVERAGE(sales_data_over_years_PM0310[Units Sold])</f>
        <v>20.833333333333332</v>
      </c>
      <c r="H16" s="5">
        <f>F17/sales_data_over_years_PM0310[[#This Row],[Total Sales]] - 1</f>
        <v>-0.88888888888888884</v>
      </c>
    </row>
    <row r="17" spans="1:8" x14ac:dyDescent="0.3">
      <c r="A17" s="1">
        <v>44819</v>
      </c>
      <c r="B17">
        <v>109</v>
      </c>
      <c r="C17" s="2" t="s">
        <v>7</v>
      </c>
      <c r="D17">
        <v>10</v>
      </c>
      <c r="E17" s="4">
        <v>1000</v>
      </c>
      <c r="F17" s="4">
        <f>sales_data_over_years_PM0310[[#This Row],[Units Sold]]*sales_data_over_years_PM0310[[#This Row],[Sales Amount]]</f>
        <v>10000</v>
      </c>
      <c r="G17" s="6">
        <f>AVERAGE(sales_data_over_years_PM0310[Units Sold])</f>
        <v>20.833333333333332</v>
      </c>
      <c r="H17" s="5">
        <f>F18/sales_data_over_years_PM0310[[#This Row],[Total Sales]] - 1</f>
        <v>5.25</v>
      </c>
    </row>
    <row r="18" spans="1:8" x14ac:dyDescent="0.3">
      <c r="A18" s="1">
        <v>44783</v>
      </c>
      <c r="B18">
        <v>108</v>
      </c>
      <c r="C18" s="2" t="s">
        <v>6</v>
      </c>
      <c r="D18">
        <v>25</v>
      </c>
      <c r="E18" s="4">
        <v>2500</v>
      </c>
      <c r="F18" s="4">
        <f>sales_data_over_years_PM0310[[#This Row],[Units Sold]]*sales_data_over_years_PM0310[[#This Row],[Sales Amount]]</f>
        <v>62500</v>
      </c>
      <c r="G18" s="6">
        <f>AVERAGE(sales_data_over_years_PM0310[Units Sold])</f>
        <v>20.833333333333332</v>
      </c>
      <c r="H18" s="5">
        <f>F19/sales_data_over_years_PM0310[[#This Row],[Total Sales]] - 1</f>
        <v>-0.64</v>
      </c>
    </row>
    <row r="19" spans="1:8" x14ac:dyDescent="0.3">
      <c r="A19" s="1">
        <v>44747</v>
      </c>
      <c r="B19">
        <v>107</v>
      </c>
      <c r="C19" s="2" t="s">
        <v>5</v>
      </c>
      <c r="D19">
        <v>15</v>
      </c>
      <c r="E19" s="4">
        <v>1500</v>
      </c>
      <c r="F19" s="4">
        <f>sales_data_over_years_PM0310[[#This Row],[Units Sold]]*sales_data_over_years_PM0310[[#This Row],[Sales Amount]]</f>
        <v>22500</v>
      </c>
      <c r="G19" s="6">
        <f>AVERAGE(sales_data_over_years_PM0310[Units Sold])</f>
        <v>20.833333333333332</v>
      </c>
      <c r="H19" s="5">
        <f>F20/sales_data_over_years_PM0310[[#This Row],[Total Sales]] - 1</f>
        <v>0.77777777777777768</v>
      </c>
    </row>
    <row r="20" spans="1:8" x14ac:dyDescent="0.3">
      <c r="A20" s="1">
        <v>44742</v>
      </c>
      <c r="B20">
        <v>106</v>
      </c>
      <c r="C20" s="2" t="s">
        <v>7</v>
      </c>
      <c r="D20">
        <v>20</v>
      </c>
      <c r="E20" s="4">
        <v>2000</v>
      </c>
      <c r="F20" s="4">
        <f>sales_data_over_years_PM0310[[#This Row],[Units Sold]]*sales_data_over_years_PM0310[[#This Row],[Sales Amount]]</f>
        <v>40000</v>
      </c>
      <c r="G20" s="6">
        <f>AVERAGE(sales_data_over_years_PM0310[Units Sold])</f>
        <v>20.833333333333332</v>
      </c>
      <c r="H20" s="5">
        <f>F21/sales_data_over_years_PM0310[[#This Row],[Total Sales]] - 1</f>
        <v>1.25</v>
      </c>
    </row>
    <row r="21" spans="1:8" x14ac:dyDescent="0.3">
      <c r="A21" s="1">
        <v>44706</v>
      </c>
      <c r="B21">
        <v>105</v>
      </c>
      <c r="C21" s="2" t="s">
        <v>6</v>
      </c>
      <c r="D21">
        <v>30</v>
      </c>
      <c r="E21" s="4">
        <v>3000</v>
      </c>
      <c r="F21" s="4">
        <f>sales_data_over_years_PM0310[[#This Row],[Units Sold]]*sales_data_over_years_PM0310[[#This Row],[Sales Amount]]</f>
        <v>90000</v>
      </c>
      <c r="G21" s="6">
        <f>AVERAGE(sales_data_over_years_PM0310[Units Sold])</f>
        <v>20.833333333333332</v>
      </c>
      <c r="H21" s="5">
        <f>F22/sales_data_over_years_PM0310[[#This Row],[Total Sales]] - 1</f>
        <v>-0.88888888888888884</v>
      </c>
    </row>
    <row r="22" spans="1:8" x14ac:dyDescent="0.3">
      <c r="A22" s="1">
        <v>44671</v>
      </c>
      <c r="B22">
        <v>104</v>
      </c>
      <c r="C22" s="2" t="s">
        <v>5</v>
      </c>
      <c r="D22">
        <v>10</v>
      </c>
      <c r="E22" s="4">
        <v>1000</v>
      </c>
      <c r="F22" s="4">
        <f>sales_data_over_years_PM0310[[#This Row],[Units Sold]]*sales_data_over_years_PM0310[[#This Row],[Sales Amount]]</f>
        <v>10000</v>
      </c>
      <c r="G22" s="6">
        <f>AVERAGE(sales_data_over_years_PM0310[Units Sold])</f>
        <v>20.833333333333332</v>
      </c>
      <c r="H22" s="5">
        <f>F23/sales_data_over_years_PM0310[[#This Row],[Total Sales]] - 1</f>
        <v>5.25</v>
      </c>
    </row>
    <row r="23" spans="1:8" x14ac:dyDescent="0.3">
      <c r="A23" s="1">
        <v>44635</v>
      </c>
      <c r="B23">
        <v>103</v>
      </c>
      <c r="C23" s="2" t="s">
        <v>7</v>
      </c>
      <c r="D23">
        <v>25</v>
      </c>
      <c r="E23" s="4">
        <v>2500</v>
      </c>
      <c r="F23" s="4">
        <f>sales_data_over_years_PM0310[[#This Row],[Units Sold]]*sales_data_over_years_PM0310[[#This Row],[Sales Amount]]</f>
        <v>62500</v>
      </c>
      <c r="G23" s="6">
        <f>AVERAGE(sales_data_over_years_PM0310[Units Sold])</f>
        <v>20.833333333333332</v>
      </c>
      <c r="H23" s="5">
        <f>F24/sales_data_over_years_PM0310[[#This Row],[Total Sales]] - 1</f>
        <v>0.43999999999999995</v>
      </c>
    </row>
    <row r="24" spans="1:8" x14ac:dyDescent="0.3">
      <c r="A24" s="1">
        <v>44602</v>
      </c>
      <c r="B24">
        <v>102</v>
      </c>
      <c r="C24" s="2" t="s">
        <v>6</v>
      </c>
      <c r="D24">
        <v>30</v>
      </c>
      <c r="E24" s="4">
        <v>3000</v>
      </c>
      <c r="F24" s="4">
        <f>sales_data_over_years_PM0310[[#This Row],[Units Sold]]*sales_data_over_years_PM0310[[#This Row],[Sales Amount]]</f>
        <v>90000</v>
      </c>
      <c r="G24" s="6">
        <f>AVERAGE(sales_data_over_years_PM0310[Units Sold])</f>
        <v>20.833333333333332</v>
      </c>
      <c r="H24" s="5">
        <f>F25/sales_data_over_years_PM0310[[#This Row],[Total Sales]] - 1</f>
        <v>-0.55555555555555558</v>
      </c>
    </row>
    <row r="25" spans="1:8" x14ac:dyDescent="0.3">
      <c r="A25" s="1">
        <v>44566</v>
      </c>
      <c r="B25">
        <v>101</v>
      </c>
      <c r="C25" s="2" t="s">
        <v>5</v>
      </c>
      <c r="D25">
        <v>20</v>
      </c>
      <c r="E25" s="4">
        <v>2000</v>
      </c>
      <c r="F25" s="4">
        <f>sales_data_over_years_PM0310[[#This Row],[Units Sold]]*sales_data_over_years_PM0310[[#This Row],[Sales Amount]]</f>
        <v>40000</v>
      </c>
      <c r="G25" s="6">
        <f>AVERAGE(sales_data_over_years_PM0310[Units Sold])</f>
        <v>20.833333333333332</v>
      </c>
      <c r="H25" s="5">
        <f>F26/sales_data_over_years_PM0310[[#This Row],[Total Sales]] - 1</f>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8E6C80-DA0B-4A77-99E4-FC573C4EF8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Sheet5</vt:lpstr>
      <vt:lpstr>Sheet6</vt:lpstr>
      <vt:lpstr>sales_data_over_years PM0310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Janay Wesso</dc:creator>
  <cp:lastModifiedBy>Janay Wesso</cp:lastModifiedBy>
  <dcterms:created xsi:type="dcterms:W3CDTF">2015-06-05T18:17:20Z</dcterms:created>
  <dcterms:modified xsi:type="dcterms:W3CDTF">2025-08-15T11:18:14Z</dcterms:modified>
</cp:coreProperties>
</file>