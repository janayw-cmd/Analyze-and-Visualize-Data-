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E Studies\12 Practicals\3 Analyze and Visualize Data AVDS\Final\"/>
    </mc:Choice>
  </mc:AlternateContent>
  <xr:revisionPtr revIDLastSave="0" documentId="13_ncr:1_{9C71C5F3-FB9D-4F6A-940D-13F0910B9A67}" xr6:coauthVersionLast="47" xr6:coauthVersionMax="47" xr10:uidLastSave="{00000000-0000-0000-0000-000000000000}"/>
  <bookViews>
    <workbookView xWindow="-108" yWindow="-108" windowWidth="23256" windowHeight="12456" activeTab="1" xr2:uid="{B8CD8368-2767-4BEC-834B-D9240758166E}"/>
  </bookViews>
  <sheets>
    <sheet name="Sheet3" sheetId="4" r:id="rId1"/>
    <sheet name="bookstore_sales_data PM0302" sheetId="2" r:id="rId2"/>
  </sheets>
  <definedNames>
    <definedName name="_xlnm._FilterDatabase" localSheetId="0" hidden="1">Sheet3!$A$3:$B$17</definedName>
    <definedName name="ExternalData_1" localSheetId="1" hidden="1">'bookstore_sales_data PM0302'!$A$1:$F$13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2" l="1"/>
  <c r="G2" i="2"/>
  <c r="G3" i="2"/>
  <c r="G4" i="2"/>
  <c r="G5" i="2"/>
  <c r="G6" i="2"/>
  <c r="G7" i="2"/>
  <c r="G8" i="2"/>
  <c r="G9" i="2"/>
  <c r="G10" i="2"/>
  <c r="G11" i="2"/>
  <c r="G12" i="2"/>
  <c r="G13" i="2"/>
  <c r="I15" i="2" l="1"/>
  <c r="I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E1EE45-ABA8-4AC9-8E67-56EAC45F72CF}" keepAlive="1" name="Query - bookstore_sales_data PM0302" description="Connection to the 'bookstore_sales_data PM0302' query in the workbook." type="5" refreshedVersion="8" background="1" saveData="1">
    <dbPr connection="Provider=Microsoft.Mashup.OleDb.1;Data Source=$Workbook$;Location=&quot;bookstore_sales_data PM0302&quot;;Extended Properties=&quot;&quot;" command="SELECT * FROM [bookstore_sales_data PM0302]"/>
  </connection>
</connections>
</file>

<file path=xl/sharedStrings.xml><?xml version="1.0" encoding="utf-8"?>
<sst xmlns="http://schemas.openxmlformats.org/spreadsheetml/2006/main" count="86" uniqueCount="72">
  <si>
    <t>Date of Sale</t>
  </si>
  <si>
    <t>Book Title</t>
  </si>
  <si>
    <t>Author</t>
  </si>
  <si>
    <t>Genre</t>
  </si>
  <si>
    <t>Units Sold</t>
  </si>
  <si>
    <t>Sale Price</t>
  </si>
  <si>
    <t>2024-01-05</t>
  </si>
  <si>
    <t>The Great Escape</t>
  </si>
  <si>
    <t>John Doe</t>
  </si>
  <si>
    <t>Fiction</t>
  </si>
  <si>
    <t>15.99</t>
  </si>
  <si>
    <t>2024-02-10</t>
  </si>
  <si>
    <t>Advanced Calculus</t>
  </si>
  <si>
    <t>Jane Smith</t>
  </si>
  <si>
    <t>Education</t>
  </si>
  <si>
    <t>29.99</t>
  </si>
  <si>
    <t>2024-03-15</t>
  </si>
  <si>
    <t>Mystery of the Pyramid</t>
  </si>
  <si>
    <t>Emily Jones</t>
  </si>
  <si>
    <t>Mystery</t>
  </si>
  <si>
    <t>9.99</t>
  </si>
  <si>
    <t>2024-04-20</t>
  </si>
  <si>
    <t>The Healthy Chef</t>
  </si>
  <si>
    <t>Linda Johnson</t>
  </si>
  <si>
    <t>Cooking</t>
  </si>
  <si>
    <t>19.99</t>
  </si>
  <si>
    <t>2024-05-25</t>
  </si>
  <si>
    <t>History of Art</t>
  </si>
  <si>
    <t>Michael Brown</t>
  </si>
  <si>
    <t>Art</t>
  </si>
  <si>
    <t>49.99</t>
  </si>
  <si>
    <t>2024-06-30</t>
  </si>
  <si>
    <t>Science for Kids</t>
  </si>
  <si>
    <t>Anna Green</t>
  </si>
  <si>
    <t>Children</t>
  </si>
  <si>
    <t>12.99</t>
  </si>
  <si>
    <t>2024-07-05</t>
  </si>
  <si>
    <t>Modern Business Strategies</t>
  </si>
  <si>
    <t>David Wilson</t>
  </si>
  <si>
    <t>Business</t>
  </si>
  <si>
    <t>21.99</t>
  </si>
  <si>
    <t>2024-08-10</t>
  </si>
  <si>
    <t>Programming in Python</t>
  </si>
  <si>
    <t>Rachel Kim</t>
  </si>
  <si>
    <t>Technology</t>
  </si>
  <si>
    <t>39.99</t>
  </si>
  <si>
    <t>2024-09-15</t>
  </si>
  <si>
    <t>World Religions</t>
  </si>
  <si>
    <t>Sam Lee</t>
  </si>
  <si>
    <t>Religion</t>
  </si>
  <si>
    <t>14.99</t>
  </si>
  <si>
    <t>2024-10-20</t>
  </si>
  <si>
    <t>Space Exploration</t>
  </si>
  <si>
    <t>Alex Smith</t>
  </si>
  <si>
    <t>Science</t>
  </si>
  <si>
    <t>24.99</t>
  </si>
  <si>
    <t>2024-11-25</t>
  </si>
  <si>
    <t>The Art of Photography</t>
  </si>
  <si>
    <t>Laura White</t>
  </si>
  <si>
    <t>Photography</t>
  </si>
  <si>
    <t>2024-12-30</t>
  </si>
  <si>
    <t>Mastering Guitar</t>
  </si>
  <si>
    <t>Chris James</t>
  </si>
  <si>
    <t>Music</t>
  </si>
  <si>
    <t>17.99</t>
  </si>
  <si>
    <t>Total Price</t>
  </si>
  <si>
    <t>Average</t>
  </si>
  <si>
    <t>Total Units Sold</t>
  </si>
  <si>
    <t>(blank)</t>
  </si>
  <si>
    <t>Grand Total</t>
  </si>
  <si>
    <t>Sum of Total Price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</si>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</sst>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64" fontId="0" fillId="0" borderId="1" xfId="0" applyNumberFormat="1" applyBorder="1"/>
    <xf numFmtId="0" fontId="2" fillId="0" borderId="0" xfId="0" applyFont="1"/>
    <xf numFmtId="0" fontId="0" fillId="0" borderId="2" xfId="0" applyBorder="1"/>
    <xf numFmtId="164" fontId="2" fillId="0" borderId="0" xfId="0" applyNumberFormat="1" applyFont="1"/>
    <xf numFmtId="164" fontId="0" fillId="0" borderId="2" xfId="0" applyNumberFormat="1" applyBorder="1"/>
    <xf numFmtId="164" fontId="1" fillId="0" borderId="0" xfId="0" applyNumberFormat="1" applyFont="1"/>
    <xf numFmtId="1" fontId="2" fillId="0" borderId="0" xfId="0" applyNumberFormat="1" applyFont="1"/>
    <xf numFmtId="1" fontId="0" fillId="0" borderId="2" xfId="0" applyNumberFormat="1" applyBorder="1"/>
    <xf numFmtId="1" fontId="0" fillId="0" borderId="0" xfId="0" applyNumberFormat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numFmt numFmtId="164" formatCode="&quot;R&quot;#,##0.00"/>
    </dxf>
    <dxf>
      <numFmt numFmtId="164" formatCode="&quot;R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numFmt numFmtId="164" formatCode="&quot;R&quot;#,##0.00"/>
    </dxf>
    <dxf>
      <numFmt numFmtId="164" formatCode="&quot;R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ay Wesso" refreshedDate="45878.551670833331" createdVersion="8" refreshedVersion="8" minRefreshableVersion="3" recordCount="19" xr:uid="{85D32DE0-221C-4EE1-8E4D-5B1F6192A51C}">
  <cacheSource type="worksheet">
    <worksheetSource ref="A1:G1048576" sheet="bookstore_sales_data PM0302"/>
  </cacheSource>
  <cacheFields count="7">
    <cacheField name="Date of Sale" numFmtId="0">
      <sharedItems containsBlank="1" count="13">
        <s v="2024-01-05"/>
        <s v="2024-02-10"/>
        <s v="2024-03-15"/>
        <s v="2024-04-20"/>
        <s v="2024-05-25"/>
        <s v="2024-06-30"/>
        <s v="2024-07-05"/>
        <s v="2024-08-10"/>
        <s v="2024-09-15"/>
        <s v="2024-10-20"/>
        <s v="2024-11-25"/>
        <s v="2024-12-30"/>
        <m/>
      </sharedItems>
    </cacheField>
    <cacheField name="Book Title" numFmtId="0">
      <sharedItems containsBlank="1"/>
    </cacheField>
    <cacheField name="Author" numFmtId="0">
      <sharedItems containsBlank="1" count="13">
        <s v="John Doe"/>
        <s v="Jane Smith"/>
        <s v="Emily Jones"/>
        <s v="Linda Johnson"/>
        <s v="Michael Brown"/>
        <s v="Anna Green"/>
        <s v="David Wilson"/>
        <s v="Rachel Kim"/>
        <s v="Sam Lee"/>
        <s v="Alex Smith"/>
        <s v="Laura White"/>
        <s v="Chris James"/>
        <m/>
      </sharedItems>
    </cacheField>
    <cacheField name="Genre" numFmtId="0">
      <sharedItems containsBlank="1" count="13">
        <s v="Fiction"/>
        <s v="Education"/>
        <s v="Mystery"/>
        <s v="Cooking"/>
        <s v="Art"/>
        <s v="Children"/>
        <s v="Business"/>
        <s v="Technology"/>
        <s v="Religion"/>
        <s v="Science"/>
        <s v="Photography"/>
        <s v="Music"/>
        <m/>
      </sharedItems>
    </cacheField>
    <cacheField name="Units Sold" numFmtId="0">
      <sharedItems containsString="0" containsBlank="1" containsNumber="1" containsInteger="1" minValue="10" maxValue="40"/>
    </cacheField>
    <cacheField name="Sale Price" numFmtId="0">
      <sharedItems containsBlank="1"/>
    </cacheField>
    <cacheField name="Total Price" numFmtId="0">
      <sharedItems containsString="0" containsBlank="1" containsNumber="1" minValue="299.7" maxValue="1399.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s v="The Great Escape"/>
    <x v="0"/>
    <x v="0"/>
    <n v="25"/>
    <s v="15.99"/>
    <n v="399.75"/>
  </r>
  <r>
    <x v="1"/>
    <s v="Advanced Calculus"/>
    <x v="1"/>
    <x v="1"/>
    <n v="15"/>
    <s v="29.99"/>
    <n v="449.84999999999997"/>
  </r>
  <r>
    <x v="2"/>
    <s v="Mystery of the Pyramid"/>
    <x v="2"/>
    <x v="2"/>
    <n v="30"/>
    <s v="9.99"/>
    <n v="299.7"/>
  </r>
  <r>
    <x v="3"/>
    <s v="The Healthy Chef"/>
    <x v="3"/>
    <x v="3"/>
    <n v="20"/>
    <s v="19.99"/>
    <n v="399.79999999999995"/>
  </r>
  <r>
    <x v="4"/>
    <s v="History of Art"/>
    <x v="4"/>
    <x v="4"/>
    <n v="10"/>
    <s v="49.99"/>
    <n v="499.90000000000003"/>
  </r>
  <r>
    <x v="5"/>
    <s v="Science for Kids"/>
    <x v="5"/>
    <x v="5"/>
    <n v="40"/>
    <s v="12.99"/>
    <n v="519.6"/>
  </r>
  <r>
    <x v="6"/>
    <s v="Modern Business Strategies"/>
    <x v="6"/>
    <x v="6"/>
    <n v="25"/>
    <s v="21.99"/>
    <n v="549.75"/>
  </r>
  <r>
    <x v="7"/>
    <s v="Programming in Python"/>
    <x v="7"/>
    <x v="7"/>
    <n v="35"/>
    <s v="39.99"/>
    <n v="1399.65"/>
  </r>
  <r>
    <x v="8"/>
    <s v="World Religions"/>
    <x v="8"/>
    <x v="8"/>
    <n v="20"/>
    <s v="14.99"/>
    <n v="299.8"/>
  </r>
  <r>
    <x v="9"/>
    <s v="Space Exploration"/>
    <x v="9"/>
    <x v="9"/>
    <n v="15"/>
    <s v="24.99"/>
    <n v="374.84999999999997"/>
  </r>
  <r>
    <x v="10"/>
    <s v="The Art of Photography"/>
    <x v="10"/>
    <x v="10"/>
    <n v="18"/>
    <s v="29.99"/>
    <n v="539.81999999999994"/>
  </r>
  <r>
    <x v="11"/>
    <s v="Mastering Guitar"/>
    <x v="11"/>
    <x v="11"/>
    <n v="22"/>
    <s v="17.99"/>
    <n v="395.78"/>
  </r>
  <r>
    <x v="12"/>
    <m/>
    <x v="12"/>
    <x v="12"/>
    <m/>
    <m/>
    <m/>
  </r>
  <r>
    <x v="12"/>
    <m/>
    <x v="12"/>
    <x v="12"/>
    <m/>
    <m/>
    <m/>
  </r>
  <r>
    <x v="12"/>
    <m/>
    <x v="12"/>
    <x v="12"/>
    <m/>
    <m/>
    <m/>
  </r>
  <r>
    <x v="12"/>
    <m/>
    <x v="12"/>
    <x v="12"/>
    <m/>
    <m/>
    <m/>
  </r>
  <r>
    <x v="12"/>
    <m/>
    <x v="12"/>
    <x v="12"/>
    <m/>
    <m/>
    <m/>
  </r>
  <r>
    <x v="12"/>
    <m/>
    <x v="12"/>
    <x v="12"/>
    <m/>
    <m/>
    <m/>
  </r>
  <r>
    <x v="12"/>
    <m/>
    <x v="12"/>
    <x v="1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0F1CB-2BB2-4A9E-9FAB-982AB2539E3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re">
  <location ref="A3:B17" firstHeaderRow="1" firstDataRow="1" firstDataCol="1"/>
  <pivotFields count="7"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axis="axisRow" showAll="0">
      <items count="14">
        <item x="4"/>
        <item x="6"/>
        <item x="5"/>
        <item x="3"/>
        <item x="1"/>
        <item x="0"/>
        <item x="11"/>
        <item x="2"/>
        <item x="10"/>
        <item x="8"/>
        <item x="9"/>
        <item x="7"/>
        <item x="12"/>
        <item t="default"/>
      </items>
    </pivotField>
    <pivotField showAll="0"/>
    <pivotField showAll="0"/>
    <pivotField dataField="1"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Price" fld="6" baseField="0" baseItem="0" numFmtId="164"/>
  </dataFields>
  <formats count="2">
    <format dxfId="12">
      <pivotArea outline="0" collapsedLevelsAreSubtotals="1" fieldPosition="0"/>
    </format>
    <format dxfId="11">
      <pivotArea dataOnly="0" labelOnly="1" outline="0" axis="axisValues" fieldPosition="0"/>
    </format>
  </format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FFC7A0-7025-4567-8681-139916E50896}" autoFormatId="16" applyNumberFormats="0" applyBorderFormats="0" applyFontFormats="0" applyPatternFormats="0" applyAlignmentFormats="0" applyWidthHeightFormats="0">
  <queryTableRefresh nextId="9" unboundColumnsRight="1">
    <queryTableFields count="7">
      <queryTableField id="1" name="Date of Sale" tableColumnId="1"/>
      <queryTableField id="2" name="Book Title" tableColumnId="2"/>
      <queryTableField id="3" name="Author" tableColumnId="3"/>
      <queryTableField id="4" name="Genre" tableColumnId="4"/>
      <queryTableField id="5" name="Units Sold" tableColumnId="5"/>
      <queryTableField id="6" name="Sale Price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7E006-B11E-4B86-8479-E4C77F0ECA6A}" name="bookstore_sales_data_PM0302" displayName="bookstore_sales_data_PM0302" ref="A1:G13" tableType="queryTable" totalsRowShown="0" headerRowDxfId="10">
  <autoFilter ref="A1:G13" xr:uid="{9027E006-B11E-4B86-8479-E4C77F0ECA6A}"/>
  <tableColumns count="7">
    <tableColumn id="1" xr3:uid="{23B70C30-85A2-4C2C-9219-236AC24B6ABA}" uniqueName="1" name="Date of Sale" queryTableFieldId="1" dataDxfId="9"/>
    <tableColumn id="2" xr3:uid="{785539CA-61F3-4C81-B956-BC9F2798CAF0}" uniqueName="2" name="Book Title" queryTableFieldId="2" dataDxfId="8"/>
    <tableColumn id="3" xr3:uid="{6F45F0A2-6A5E-41AD-9F54-4CA092D46CF3}" uniqueName="3" name="Author" queryTableFieldId="3" dataDxfId="7"/>
    <tableColumn id="4" xr3:uid="{7B02FE6E-7181-4EAB-91F2-65A351BECB51}" uniqueName="4" name="Genre" queryTableFieldId="4" dataDxfId="6"/>
    <tableColumn id="5" xr3:uid="{AD151016-24CA-4A97-9B58-BEBDBDAD1C33}" uniqueName="5" name="Units Sold" queryTableFieldId="5" dataDxfId="5" totalsRowDxfId="4"/>
    <tableColumn id="6" xr3:uid="{E36A9CF6-340E-4CC8-B297-662DB077C1E9}" uniqueName="6" name="Sale Price" queryTableFieldId="6" dataDxfId="3"/>
    <tableColumn id="7" xr3:uid="{CFAEC36D-C469-4226-B149-DC4B6CD579C5}" uniqueName="7" name="Total Price" queryTableFieldId="7" dataDxfId="2" totalsRowDxfId="1">
      <calculatedColumnFormula>bookstore_sales_data_PM0302[[#This Row],[Units Sold]]*bookstore_sales_data_PM0302[[#This Row],[Sale Price]]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3239-9FDA-4BF2-BC59-1D34B3D584E8}">
  <dimension ref="A3:B17"/>
  <sheetViews>
    <sheetView workbookViewId="0">
      <selection activeCell="C23" sqref="C23"/>
    </sheetView>
  </sheetViews>
  <sheetFormatPr defaultRowHeight="14.4" x14ac:dyDescent="0.3"/>
  <cols>
    <col min="1" max="1" width="12.5546875" bestFit="1" customWidth="1"/>
    <col min="2" max="2" width="18.5546875" style="1" bestFit="1" customWidth="1"/>
  </cols>
  <sheetData>
    <row r="3" spans="1:2" x14ac:dyDescent="0.3">
      <c r="A3" s="2" t="s">
        <v>3</v>
      </c>
      <c r="B3" s="1" t="s">
        <v>70</v>
      </c>
    </row>
    <row r="4" spans="1:2" x14ac:dyDescent="0.3">
      <c r="A4" s="3" t="s">
        <v>29</v>
      </c>
      <c r="B4" s="1">
        <v>499.90000000000003</v>
      </c>
    </row>
    <row r="5" spans="1:2" x14ac:dyDescent="0.3">
      <c r="A5" s="3" t="s">
        <v>39</v>
      </c>
      <c r="B5" s="1">
        <v>549.75</v>
      </c>
    </row>
    <row r="6" spans="1:2" x14ac:dyDescent="0.3">
      <c r="A6" s="3" t="s">
        <v>34</v>
      </c>
      <c r="B6" s="1">
        <v>519.6</v>
      </c>
    </row>
    <row r="7" spans="1:2" x14ac:dyDescent="0.3">
      <c r="A7" s="3" t="s">
        <v>24</v>
      </c>
      <c r="B7" s="1">
        <v>399.79999999999995</v>
      </c>
    </row>
    <row r="8" spans="1:2" x14ac:dyDescent="0.3">
      <c r="A8" s="3" t="s">
        <v>14</v>
      </c>
      <c r="B8" s="1">
        <v>449.84999999999997</v>
      </c>
    </row>
    <row r="9" spans="1:2" x14ac:dyDescent="0.3">
      <c r="A9" s="3" t="s">
        <v>9</v>
      </c>
      <c r="B9" s="1">
        <v>399.75</v>
      </c>
    </row>
    <row r="10" spans="1:2" x14ac:dyDescent="0.3">
      <c r="A10" s="3" t="s">
        <v>63</v>
      </c>
      <c r="B10" s="1">
        <v>395.78</v>
      </c>
    </row>
    <row r="11" spans="1:2" x14ac:dyDescent="0.3">
      <c r="A11" s="3" t="s">
        <v>19</v>
      </c>
      <c r="B11" s="1">
        <v>299.7</v>
      </c>
    </row>
    <row r="12" spans="1:2" x14ac:dyDescent="0.3">
      <c r="A12" s="3" t="s">
        <v>59</v>
      </c>
      <c r="B12" s="1">
        <v>539.81999999999994</v>
      </c>
    </row>
    <row r="13" spans="1:2" x14ac:dyDescent="0.3">
      <c r="A13" s="3" t="s">
        <v>49</v>
      </c>
      <c r="B13" s="1">
        <v>299.8</v>
      </c>
    </row>
    <row r="14" spans="1:2" x14ac:dyDescent="0.3">
      <c r="A14" s="3" t="s">
        <v>54</v>
      </c>
      <c r="B14" s="1">
        <v>374.84999999999997</v>
      </c>
    </row>
    <row r="15" spans="1:2" x14ac:dyDescent="0.3">
      <c r="A15" s="3" t="s">
        <v>44</v>
      </c>
      <c r="B15" s="1">
        <v>1399.65</v>
      </c>
    </row>
    <row r="16" spans="1:2" x14ac:dyDescent="0.3">
      <c r="A16" s="3" t="s">
        <v>68</v>
      </c>
    </row>
    <row r="17" spans="1:2" x14ac:dyDescent="0.3">
      <c r="A17" s="3" t="s">
        <v>69</v>
      </c>
      <c r="B17" s="1">
        <v>6128.25</v>
      </c>
    </row>
  </sheetData>
  <autoFilter ref="A3:B17" xr:uid="{B2333239-9FDA-4BF2-BC59-1D34B3D584E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1A01A-A7D6-4F3E-BBE9-EA07C01917DC}">
  <dimension ref="A1:I17"/>
  <sheetViews>
    <sheetView tabSelected="1" workbookViewId="0">
      <selection activeCell="H21" sqref="H21"/>
    </sheetView>
  </sheetViews>
  <sheetFormatPr defaultRowHeight="14.4" x14ac:dyDescent="0.3"/>
  <cols>
    <col min="1" max="1" width="16.109375" bestFit="1" customWidth="1"/>
    <col min="2" max="2" width="23.5546875" bestFit="1" customWidth="1"/>
    <col min="3" max="3" width="13.33203125" bestFit="1" customWidth="1"/>
    <col min="4" max="4" width="11.33203125" bestFit="1" customWidth="1"/>
    <col min="5" max="5" width="13.88671875" style="13" bestFit="1" customWidth="1"/>
    <col min="6" max="6" width="13.5546875" bestFit="1" customWidth="1"/>
    <col min="7" max="7" width="14.44140625" style="1" bestFit="1" customWidth="1"/>
    <col min="8" max="8" width="13.88671875" bestFit="1" customWidth="1"/>
    <col min="9" max="9" width="9.109375" bestFit="1" customWidth="1"/>
  </cols>
  <sheetData>
    <row r="1" spans="1:9" s="6" customFormat="1" ht="18" x14ac:dyDescent="0.35">
      <c r="A1" s="6" t="s">
        <v>0</v>
      </c>
      <c r="B1" s="6" t="s">
        <v>1</v>
      </c>
      <c r="C1" s="6" t="s">
        <v>2</v>
      </c>
      <c r="D1" s="6" t="s">
        <v>3</v>
      </c>
      <c r="E1" s="11" t="s">
        <v>4</v>
      </c>
      <c r="F1" s="6" t="s">
        <v>5</v>
      </c>
      <c r="G1" s="8" t="s">
        <v>65</v>
      </c>
    </row>
    <row r="2" spans="1:9" x14ac:dyDescent="0.3">
      <c r="A2" s="7" t="s">
        <v>6</v>
      </c>
      <c r="B2" s="7" t="s">
        <v>7</v>
      </c>
      <c r="C2" s="7" t="s">
        <v>8</v>
      </c>
      <c r="D2" s="7" t="s">
        <v>9</v>
      </c>
      <c r="E2" s="12">
        <v>25</v>
      </c>
      <c r="F2" s="7" t="s">
        <v>10</v>
      </c>
      <c r="G2" s="9">
        <f>bookstore_sales_data_PM0302[[#This Row],[Units Sold]]*bookstore_sales_data_PM0302[[#This Row],[Sale Price]]</f>
        <v>399.75</v>
      </c>
    </row>
    <row r="3" spans="1:9" x14ac:dyDescent="0.3">
      <c r="A3" s="7" t="s">
        <v>11</v>
      </c>
      <c r="B3" s="7" t="s">
        <v>12</v>
      </c>
      <c r="C3" s="7" t="s">
        <v>13</v>
      </c>
      <c r="D3" s="7" t="s">
        <v>14</v>
      </c>
      <c r="E3" s="12">
        <v>15</v>
      </c>
      <c r="F3" s="7" t="s">
        <v>15</v>
      </c>
      <c r="G3" s="9">
        <f>bookstore_sales_data_PM0302[[#This Row],[Units Sold]]*bookstore_sales_data_PM0302[[#This Row],[Sale Price]]</f>
        <v>449.84999999999997</v>
      </c>
    </row>
    <row r="4" spans="1:9" x14ac:dyDescent="0.3">
      <c r="A4" s="7" t="s">
        <v>16</v>
      </c>
      <c r="B4" s="7" t="s">
        <v>17</v>
      </c>
      <c r="C4" s="7" t="s">
        <v>18</v>
      </c>
      <c r="D4" s="7" t="s">
        <v>19</v>
      </c>
      <c r="E4" s="12">
        <v>30</v>
      </c>
      <c r="F4" s="7" t="s">
        <v>20</v>
      </c>
      <c r="G4" s="9">
        <f>bookstore_sales_data_PM0302[[#This Row],[Units Sold]]*bookstore_sales_data_PM0302[[#This Row],[Sale Price]]</f>
        <v>299.7</v>
      </c>
    </row>
    <row r="5" spans="1:9" x14ac:dyDescent="0.3">
      <c r="A5" s="7" t="s">
        <v>21</v>
      </c>
      <c r="B5" s="7" t="s">
        <v>22</v>
      </c>
      <c r="C5" s="7" t="s">
        <v>23</v>
      </c>
      <c r="D5" s="7" t="s">
        <v>24</v>
      </c>
      <c r="E5" s="12">
        <v>20</v>
      </c>
      <c r="F5" s="7" t="s">
        <v>25</v>
      </c>
      <c r="G5" s="9">
        <f>bookstore_sales_data_PM0302[[#This Row],[Units Sold]]*bookstore_sales_data_PM0302[[#This Row],[Sale Price]]</f>
        <v>399.79999999999995</v>
      </c>
    </row>
    <row r="6" spans="1:9" x14ac:dyDescent="0.3">
      <c r="A6" s="7" t="s">
        <v>26</v>
      </c>
      <c r="B6" s="7" t="s">
        <v>27</v>
      </c>
      <c r="C6" s="7" t="s">
        <v>28</v>
      </c>
      <c r="D6" s="7" t="s">
        <v>29</v>
      </c>
      <c r="E6" s="12">
        <v>10</v>
      </c>
      <c r="F6" s="7" t="s">
        <v>30</v>
      </c>
      <c r="G6" s="9">
        <f>bookstore_sales_data_PM0302[[#This Row],[Units Sold]]*bookstore_sales_data_PM0302[[#This Row],[Sale Price]]</f>
        <v>499.90000000000003</v>
      </c>
    </row>
    <row r="7" spans="1:9" x14ac:dyDescent="0.3">
      <c r="A7" s="7" t="s">
        <v>31</v>
      </c>
      <c r="B7" s="7" t="s">
        <v>32</v>
      </c>
      <c r="C7" s="7" t="s">
        <v>33</v>
      </c>
      <c r="D7" s="7" t="s">
        <v>34</v>
      </c>
      <c r="E7" s="12">
        <v>40</v>
      </c>
      <c r="F7" s="7" t="s">
        <v>35</v>
      </c>
      <c r="G7" s="9">
        <f>bookstore_sales_data_PM0302[[#This Row],[Units Sold]]*bookstore_sales_data_PM0302[[#This Row],[Sale Price]]</f>
        <v>519.6</v>
      </c>
    </row>
    <row r="8" spans="1:9" x14ac:dyDescent="0.3">
      <c r="A8" s="7" t="s">
        <v>36</v>
      </c>
      <c r="B8" s="7" t="s">
        <v>37</v>
      </c>
      <c r="C8" s="7" t="s">
        <v>38</v>
      </c>
      <c r="D8" s="7" t="s">
        <v>39</v>
      </c>
      <c r="E8" s="12">
        <v>25</v>
      </c>
      <c r="F8" s="7" t="s">
        <v>40</v>
      </c>
      <c r="G8" s="9">
        <f>bookstore_sales_data_PM0302[[#This Row],[Units Sold]]*bookstore_sales_data_PM0302[[#This Row],[Sale Price]]</f>
        <v>549.75</v>
      </c>
    </row>
    <row r="9" spans="1:9" x14ac:dyDescent="0.3">
      <c r="A9" s="7" t="s">
        <v>41</v>
      </c>
      <c r="B9" s="7" t="s">
        <v>42</v>
      </c>
      <c r="C9" s="7" t="s">
        <v>43</v>
      </c>
      <c r="D9" s="7" t="s">
        <v>44</v>
      </c>
      <c r="E9" s="12">
        <v>35</v>
      </c>
      <c r="F9" s="7" t="s">
        <v>45</v>
      </c>
      <c r="G9" s="9">
        <f>bookstore_sales_data_PM0302[[#This Row],[Units Sold]]*bookstore_sales_data_PM0302[[#This Row],[Sale Price]]</f>
        <v>1399.65</v>
      </c>
    </row>
    <row r="10" spans="1:9" x14ac:dyDescent="0.3">
      <c r="A10" s="7" t="s">
        <v>46</v>
      </c>
      <c r="B10" s="7" t="s">
        <v>47</v>
      </c>
      <c r="C10" s="7" t="s">
        <v>48</v>
      </c>
      <c r="D10" s="7" t="s">
        <v>49</v>
      </c>
      <c r="E10" s="12">
        <v>20</v>
      </c>
      <c r="F10" s="7" t="s">
        <v>50</v>
      </c>
      <c r="G10" s="9">
        <f>bookstore_sales_data_PM0302[[#This Row],[Units Sold]]*bookstore_sales_data_PM0302[[#This Row],[Sale Price]]</f>
        <v>299.8</v>
      </c>
    </row>
    <row r="11" spans="1:9" x14ac:dyDescent="0.3">
      <c r="A11" s="7" t="s">
        <v>51</v>
      </c>
      <c r="B11" s="7" t="s">
        <v>52</v>
      </c>
      <c r="C11" s="7" t="s">
        <v>53</v>
      </c>
      <c r="D11" s="7" t="s">
        <v>54</v>
      </c>
      <c r="E11" s="12">
        <v>15</v>
      </c>
      <c r="F11" s="7" t="s">
        <v>55</v>
      </c>
      <c r="G11" s="9">
        <f>bookstore_sales_data_PM0302[[#This Row],[Units Sold]]*bookstore_sales_data_PM0302[[#This Row],[Sale Price]]</f>
        <v>374.84999999999997</v>
      </c>
      <c r="I11" s="1"/>
    </row>
    <row r="12" spans="1:9" x14ac:dyDescent="0.3">
      <c r="A12" s="7" t="s">
        <v>56</v>
      </c>
      <c r="B12" s="7" t="s">
        <v>57</v>
      </c>
      <c r="C12" s="7" t="s">
        <v>58</v>
      </c>
      <c r="D12" s="7" t="s">
        <v>59</v>
      </c>
      <c r="E12" s="12">
        <v>18</v>
      </c>
      <c r="F12" s="7" t="s">
        <v>15</v>
      </c>
      <c r="G12" s="9">
        <f>bookstore_sales_data_PM0302[[#This Row],[Units Sold]]*bookstore_sales_data_PM0302[[#This Row],[Sale Price]]</f>
        <v>539.81999999999994</v>
      </c>
      <c r="I12" s="1"/>
    </row>
    <row r="13" spans="1:9" x14ac:dyDescent="0.3">
      <c r="A13" s="7" t="s">
        <v>60</v>
      </c>
      <c r="B13" s="7" t="s">
        <v>61</v>
      </c>
      <c r="C13" s="7" t="s">
        <v>62</v>
      </c>
      <c r="D13" s="7" t="s">
        <v>63</v>
      </c>
      <c r="E13" s="12">
        <v>22</v>
      </c>
      <c r="F13" s="7" t="s">
        <v>64</v>
      </c>
      <c r="G13" s="9">
        <f>bookstore_sales_data_PM0302[[#This Row],[Units Sold]]*bookstore_sales_data_PM0302[[#This Row],[Sale Price]]</f>
        <v>395.78</v>
      </c>
    </row>
    <row r="14" spans="1:9" ht="15" thickBot="1" x14ac:dyDescent="0.35">
      <c r="H14" s="4" t="s">
        <v>71</v>
      </c>
      <c r="I14" s="5">
        <f>SUM(bookstore_sales_data_PM0302[Total Price])</f>
        <v>6128.25</v>
      </c>
    </row>
    <row r="15" spans="1:9" ht="15" thickTop="1" x14ac:dyDescent="0.3">
      <c r="G15" s="10"/>
      <c r="H15" s="4" t="s">
        <v>66</v>
      </c>
      <c r="I15" s="1">
        <f>AVERAGE(bookstore_sales_data_PM0302[Total Price])</f>
        <v>510.6875</v>
      </c>
    </row>
    <row r="16" spans="1:9" x14ac:dyDescent="0.3">
      <c r="G16" s="10"/>
      <c r="H16" s="4" t="s">
        <v>67</v>
      </c>
      <c r="I16">
        <f>SUM(bookstore_sales_data_PM0302[Units Sold])</f>
        <v>275</v>
      </c>
    </row>
    <row r="17" spans="7:7" x14ac:dyDescent="0.3">
      <c r="G17" s="10"/>
    </row>
  </sheetData>
  <conditionalFormatting sqref="E1:E1048576">
    <cfRule type="top10" dxfId="0" priority="2" percent="1" rank="34"/>
  </conditionalFormatting>
  <conditionalFormatting sqref="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5B3BC-14E8-41D9-8A01-CBA26C7293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bookstore_sales_data PM0302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Janay Wesso</dc:creator>
  <cp:lastModifiedBy>Janay Wesso</cp:lastModifiedBy>
  <dcterms:created xsi:type="dcterms:W3CDTF">2025-08-04T14:47:58Z</dcterms:created>
  <dcterms:modified xsi:type="dcterms:W3CDTF">2025-08-10T11:36:14Z</dcterms:modified>
</cp:coreProperties>
</file>