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AIE Studies\12 Practicals\3 Analyze and Visualize Data AVDS\Final\"/>
    </mc:Choice>
  </mc:AlternateContent>
  <xr:revisionPtr revIDLastSave="0" documentId="13_ncr:1_{86F59B14-B92C-4E16-B395-DDB659F65E37}" xr6:coauthVersionLast="47" xr6:coauthVersionMax="47" xr10:uidLastSave="{00000000-0000-0000-0000-000000000000}"/>
  <bookViews>
    <workbookView xWindow="28680" yWindow="-120" windowWidth="29040" windowHeight="15720" activeTab="5" xr2:uid="{00000000-000D-0000-FFFF-FFFF00000000}"/>
  </bookViews>
  <sheets>
    <sheet name="Sheet2" sheetId="11" r:id="rId1"/>
    <sheet name="Sheet1" sheetId="10" r:id="rId2"/>
    <sheet name="Sheet3" sheetId="12" r:id="rId3"/>
    <sheet name="Marketing_campaign_analysis_dat" sheetId="2" r:id="rId4"/>
    <sheet name="Pivot Analysis" sheetId="7" r:id="rId5"/>
    <sheet name="Dashboard" sheetId="9" r:id="rId6"/>
  </sheets>
  <definedNames>
    <definedName name="ExternalData_1" localSheetId="3" hidden="1">Marketing_campaign_analysis_dat!$A$1:$F$6</definedName>
    <definedName name="Slicer_Campaign_Name">#N/A</definedName>
    <definedName name="Slicer_Campaign_Name1">#N/A</definedName>
    <definedName name="Slicer_Clicks">#N/A</definedName>
    <definedName name="Slicer_Conversions">#N/A</definedName>
    <definedName name="Slicer_Cost">#N/A</definedName>
    <definedName name="Slicer_Impressions">#N/A</definedName>
    <definedName name="Slicer_Years__Date">#N/A</definedName>
    <definedName name="Slicer_Years__Date1">#N/A</definedName>
  </definedNames>
  <calcPr calcId="191029"/>
  <pivotCaches>
    <pivotCache cacheId="1" r:id="rId7"/>
    <pivotCache cacheId="19"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7" i="2" l="1"/>
  <c r="I7" i="2"/>
  <c r="H7" i="2"/>
  <c r="G7" i="2"/>
  <c r="J2" i="2"/>
  <c r="J3" i="2"/>
  <c r="J4" i="2"/>
  <c r="J5" i="2"/>
  <c r="J6" i="2"/>
  <c r="I2" i="2"/>
  <c r="I3" i="2"/>
  <c r="I4" i="2"/>
  <c r="I5" i="2"/>
  <c r="I6" i="2"/>
  <c r="H2" i="2"/>
  <c r="H3" i="2"/>
  <c r="H4" i="2"/>
  <c r="H5" i="2"/>
  <c r="H6" i="2"/>
  <c r="G2" i="2"/>
  <c r="G3" i="2"/>
  <c r="G4" i="2"/>
  <c r="G5" i="2"/>
  <c r="G6" i="2"/>
  <c r="F7" i="2"/>
  <c r="D7" i="2"/>
  <c r="C7" i="2"/>
  <c r="E7"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6BF5F9-6B8D-4A13-BD86-848C91146139}" keepAlive="1" name="Query - marketing_campaign_analysis_data PM0304" description="Connection to the 'marketing_campaign_analysis_data PM0304' query in the workbook." type="5" refreshedVersion="8" background="1" saveData="1">
    <dbPr connection="Provider=Microsoft.Mashup.OleDb.1;Data Source=$Workbook$;Location=&quot;marketing_campaign_analysis_data PM0304&quot;;Extended Properties=&quot;&quot;" command="SELECT * FROM [marketing_campaign_analysis_data PM0304]"/>
  </connection>
</connections>
</file>

<file path=xl/sharedStrings.xml><?xml version="1.0" encoding="utf-8"?>
<sst xmlns="http://schemas.openxmlformats.org/spreadsheetml/2006/main" count="91" uniqueCount="38">
  <si>
    <t>Campaign Name</t>
  </si>
  <si>
    <t>Date</t>
  </si>
  <si>
    <t>Clicks</t>
  </si>
  <si>
    <t>Impressions</t>
  </si>
  <si>
    <t>Cost</t>
  </si>
  <si>
    <t>Conversions</t>
  </si>
  <si>
    <t>Spring Promo</t>
  </si>
  <si>
    <t>Summer Special</t>
  </si>
  <si>
    <t>Fall Sale</t>
  </si>
  <si>
    <t>Winter Blast</t>
  </si>
  <si>
    <t>New Year Deal</t>
  </si>
  <si>
    <t>Total</t>
  </si>
  <si>
    <t>Row Labels</t>
  </si>
  <si>
    <t>Grand Total</t>
  </si>
  <si>
    <t>Sum of Clicks</t>
  </si>
  <si>
    <t>Sum of Impressions</t>
  </si>
  <si>
    <t>Sum of Cost</t>
  </si>
  <si>
    <t>Sum of Conversions</t>
  </si>
  <si>
    <t>Cost per click</t>
  </si>
  <si>
    <t xml:space="preserve">Click rate </t>
  </si>
  <si>
    <t>Conversation Rate</t>
  </si>
  <si>
    <t>Cost per Conversation</t>
  </si>
  <si>
    <t>Sum of Cost per click</t>
  </si>
  <si>
    <t>Sum of Conversation Rate</t>
  </si>
  <si>
    <t>Jan</t>
  </si>
  <si>
    <t>Mar</t>
  </si>
  <si>
    <t>Jun</t>
  </si>
  <si>
    <t>Sept</t>
  </si>
  <si>
    <t>Dec</t>
  </si>
  <si>
    <t>Sum of Cost per Conversation</t>
  </si>
  <si>
    <t>Time Trend Analysis</t>
  </si>
  <si>
    <t>Campain Performance</t>
  </si>
  <si>
    <t>Cost Efficiency</t>
  </si>
  <si>
    <t>2024</t>
  </si>
  <si>
    <t>2025</t>
  </si>
  <si>
    <t xml:space="preserve">Performance over time </t>
  </si>
  <si>
    <t>Performace by Campaign</t>
  </si>
  <si>
    <t xml:space="preserve">Cost Efficiency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</si>
</sst>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R&quot;#,##0.00"/>
    <numFmt numFmtId="166" formatCode="&quot;R&quot;#,##0"/>
  </numFmts>
  <fonts count="5" x14ac:knownFonts="1">
    <font>
      <sz val="11"/>
      <color theme="1"/>
      <name val="Calibri"/>
      <family val="2"/>
      <scheme val="minor"/>
    </font>
    <font>
      <sz val="11"/>
      <color theme="1"/>
      <name val="Calibri"/>
      <family val="2"/>
      <scheme val="minor"/>
    </font>
    <font>
      <sz val="8"/>
      <name val="Calibri"/>
      <family val="2"/>
      <scheme val="minor"/>
    </font>
    <font>
      <sz val="14"/>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9" fontId="0" fillId="0" borderId="0" xfId="0" applyNumberFormat="1"/>
    <xf numFmtId="9" fontId="0" fillId="0" borderId="0" xfId="1" applyFont="1"/>
    <xf numFmtId="166" fontId="0" fillId="0" borderId="0" xfId="0" applyNumberFormat="1"/>
    <xf numFmtId="0" fontId="3" fillId="0" borderId="0" xfId="0" applyFont="1"/>
    <xf numFmtId="0" fontId="4" fillId="0" borderId="0" xfId="0" applyFont="1"/>
    <xf numFmtId="166" fontId="4" fillId="0" borderId="0" xfId="0" applyNumberFormat="1" applyFont="1"/>
    <xf numFmtId="165" fontId="4" fillId="0" borderId="0" xfId="0" applyNumberFormat="1" applyFont="1"/>
    <xf numFmtId="0" fontId="0" fillId="0" borderId="0" xfId="0" applyAlignment="1">
      <alignment horizontal="center" vertical="center"/>
    </xf>
    <xf numFmtId="0" fontId="0" fillId="0" borderId="0" xfId="0" applyNumberFormat="1"/>
  </cellXfs>
  <cellStyles count="2">
    <cellStyle name="Normal" xfId="0" builtinId="0"/>
    <cellStyle name="Percent" xfId="1" builtinId="5"/>
  </cellStyles>
  <dxfs count="34">
    <dxf>
      <numFmt numFmtId="166" formatCode="&quot;R&quot;#,##0"/>
    </dxf>
    <dxf>
      <numFmt numFmtId="166" formatCode="&quot;R&quot;#,##0"/>
    </dxf>
    <dxf>
      <numFmt numFmtId="166" formatCode="&quot;R&quot;#,##0"/>
    </dxf>
    <dxf>
      <numFmt numFmtId="166" formatCode="&quot;R&quot;#,##0"/>
    </dxf>
    <dxf>
      <numFmt numFmtId="166" formatCode="&quot;R&quot;#,##0"/>
    </dxf>
    <dxf>
      <numFmt numFmtId="166" formatCode="&quot;R&quot;#,##0"/>
    </dxf>
    <dxf>
      <numFmt numFmtId="166" formatCode="&quot;R&quot;#,##0"/>
    </dxf>
    <dxf>
      <numFmt numFmtId="166" formatCode="&quot;R&quot;#,##0"/>
    </dxf>
    <dxf>
      <numFmt numFmtId="166" formatCode="&quot;R&quot;#,##0"/>
    </dxf>
    <dxf>
      <numFmt numFmtId="166" formatCode="&quot;R&quot;#,##0"/>
    </dxf>
    <dxf>
      <numFmt numFmtId="166" formatCode="&quot;R&quot;#,##0"/>
    </dxf>
    <dxf>
      <font>
        <color rgb="FF9C0006"/>
      </font>
      <fill>
        <patternFill>
          <bgColor rgb="FFFFC7CE"/>
        </patternFill>
      </fill>
    </dxf>
    <dxf>
      <numFmt numFmtId="166" formatCode="&quot;R&quot;#,##0"/>
    </dxf>
    <dxf>
      <numFmt numFmtId="166" formatCode="&quot;R&quot;#,##0"/>
    </dxf>
    <dxf>
      <numFmt numFmtId="165" formatCode="&quot;R&quot;#,##0.00"/>
    </dxf>
    <dxf>
      <numFmt numFmtId="165" formatCode="&quot;R&quot;#,##0.00"/>
    </dxf>
    <dxf>
      <numFmt numFmtId="166" formatCode="&quot;R&quot;#,##0"/>
    </dxf>
    <dxf>
      <numFmt numFmtId="166" formatCode="&quot;R&quot;#,##0"/>
    </dxf>
    <dxf>
      <numFmt numFmtId="165" formatCode="&quot;R&quot;#,##0.00"/>
    </dxf>
    <dxf>
      <numFmt numFmtId="165" formatCode="&quot;R&quot;#,##0.00"/>
    </dxf>
    <dxf>
      <numFmt numFmtId="13" formatCode="0%"/>
    </dxf>
    <dxf>
      <numFmt numFmtId="13" formatCode="0%"/>
    </dxf>
    <dxf>
      <numFmt numFmtId="164" formatCode="0.0%"/>
    </dxf>
    <dxf>
      <numFmt numFmtId="164" formatCode="0.0%"/>
    </dxf>
    <dxf>
      <numFmt numFmtId="165" formatCode="&quot;R&quot;#,##0.00"/>
    </dxf>
    <dxf>
      <numFmt numFmtId="165" formatCode="&quot;R&quot;#,##0.00"/>
    </dxf>
    <dxf>
      <numFmt numFmtId="164" formatCode="0.0%"/>
    </dxf>
    <dxf>
      <numFmt numFmtId="164" formatCode="0.0%"/>
    </dxf>
    <dxf>
      <numFmt numFmtId="166" formatCode="&quot;R&quot;#,##0"/>
    </dxf>
    <dxf>
      <numFmt numFmtId="166" formatCode="&quot;R&quot;#,##0"/>
    </dxf>
    <dxf>
      <numFmt numFmtId="19" formatCode="yyyy/mm/dd"/>
    </dxf>
    <dxf>
      <numFmt numFmtId="19" formatCode="yyyy/mm/dd"/>
    </dxf>
    <dxf>
      <numFmt numFmtId="0" formatCode="General"/>
    </dxf>
    <dxf>
      <font>
        <strike val="0"/>
        <outline val="0"/>
        <shadow val="0"/>
        <u val="none"/>
        <vertAlign val="baseline"/>
        <sz val="12"/>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8.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[Q4.xlsx]Sheet2!PivotTable2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Performance Over</a:t>
            </a:r>
            <a:r>
              <a:rPr lang="en-ZA" baseline="0"/>
              <a:t> Time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Clicks</c:v>
                </c:pt>
              </c:strCache>
            </c:strRef>
          </c:tx>
          <c:spPr>
            <a:solidFill>
              <a:schemeClr val="accent1"/>
            </a:solidFill>
            <a:ln>
              <a:noFill/>
            </a:ln>
            <a:effectLst/>
          </c:spPr>
          <c:invertIfNegative val="0"/>
          <c:cat>
            <c:strRef>
              <c:f>Sheet2!$A$4:$A$6</c:f>
              <c:strCache>
                <c:ptCount val="2"/>
                <c:pt idx="0">
                  <c:v>2024</c:v>
                </c:pt>
                <c:pt idx="1">
                  <c:v>2025</c:v>
                </c:pt>
              </c:strCache>
            </c:strRef>
          </c:cat>
          <c:val>
            <c:numRef>
              <c:f>Sheet2!$B$4:$B$6</c:f>
              <c:numCache>
                <c:formatCode>General</c:formatCode>
                <c:ptCount val="2"/>
                <c:pt idx="0">
                  <c:v>900</c:v>
                </c:pt>
                <c:pt idx="1">
                  <c:v>400</c:v>
                </c:pt>
              </c:numCache>
            </c:numRef>
          </c:val>
          <c:extLst>
            <c:ext xmlns:c16="http://schemas.microsoft.com/office/drawing/2014/chart" uri="{C3380CC4-5D6E-409C-BE32-E72D297353CC}">
              <c16:uniqueId val="{00000000-284C-49AB-BFCA-88FE558FB7B2}"/>
            </c:ext>
          </c:extLst>
        </c:ser>
        <c:ser>
          <c:idx val="1"/>
          <c:order val="1"/>
          <c:tx>
            <c:strRef>
              <c:f>Sheet2!$C$3</c:f>
              <c:strCache>
                <c:ptCount val="1"/>
                <c:pt idx="0">
                  <c:v>Sum of Cost</c:v>
                </c:pt>
              </c:strCache>
            </c:strRef>
          </c:tx>
          <c:spPr>
            <a:solidFill>
              <a:schemeClr val="accent2"/>
            </a:solidFill>
            <a:ln>
              <a:noFill/>
            </a:ln>
            <a:effectLst/>
          </c:spPr>
          <c:invertIfNegative val="0"/>
          <c:cat>
            <c:strRef>
              <c:f>Sheet2!$A$4:$A$6</c:f>
              <c:strCache>
                <c:ptCount val="2"/>
                <c:pt idx="0">
                  <c:v>2024</c:v>
                </c:pt>
                <c:pt idx="1">
                  <c:v>2025</c:v>
                </c:pt>
              </c:strCache>
            </c:strRef>
          </c:cat>
          <c:val>
            <c:numRef>
              <c:f>Sheet2!$C$4:$C$6</c:f>
              <c:numCache>
                <c:formatCode>"R"#,##0</c:formatCode>
                <c:ptCount val="2"/>
                <c:pt idx="0">
                  <c:v>1100</c:v>
                </c:pt>
                <c:pt idx="1">
                  <c:v>400</c:v>
                </c:pt>
              </c:numCache>
            </c:numRef>
          </c:val>
          <c:extLst>
            <c:ext xmlns:c16="http://schemas.microsoft.com/office/drawing/2014/chart" uri="{C3380CC4-5D6E-409C-BE32-E72D297353CC}">
              <c16:uniqueId val="{00000001-284C-49AB-BFCA-88FE558FB7B2}"/>
            </c:ext>
          </c:extLst>
        </c:ser>
        <c:ser>
          <c:idx val="2"/>
          <c:order val="2"/>
          <c:tx>
            <c:strRef>
              <c:f>Sheet2!$D$3</c:f>
              <c:strCache>
                <c:ptCount val="1"/>
                <c:pt idx="0">
                  <c:v>Sum of Conversions</c:v>
                </c:pt>
              </c:strCache>
            </c:strRef>
          </c:tx>
          <c:spPr>
            <a:solidFill>
              <a:schemeClr val="accent3"/>
            </a:solidFill>
            <a:ln>
              <a:noFill/>
            </a:ln>
            <a:effectLst/>
          </c:spPr>
          <c:invertIfNegative val="0"/>
          <c:cat>
            <c:strRef>
              <c:f>Sheet2!$A$4:$A$6</c:f>
              <c:strCache>
                <c:ptCount val="2"/>
                <c:pt idx="0">
                  <c:v>2024</c:v>
                </c:pt>
                <c:pt idx="1">
                  <c:v>2025</c:v>
                </c:pt>
              </c:strCache>
            </c:strRef>
          </c:cat>
          <c:val>
            <c:numRef>
              <c:f>Sheet2!$D$4:$D$6</c:f>
              <c:numCache>
                <c:formatCode>General</c:formatCode>
                <c:ptCount val="2"/>
                <c:pt idx="0">
                  <c:v>175</c:v>
                </c:pt>
                <c:pt idx="1">
                  <c:v>80</c:v>
                </c:pt>
              </c:numCache>
            </c:numRef>
          </c:val>
          <c:extLst>
            <c:ext xmlns:c16="http://schemas.microsoft.com/office/drawing/2014/chart" uri="{C3380CC4-5D6E-409C-BE32-E72D297353CC}">
              <c16:uniqueId val="{00000002-284C-49AB-BFCA-88FE558FB7B2}"/>
            </c:ext>
          </c:extLst>
        </c:ser>
        <c:ser>
          <c:idx val="3"/>
          <c:order val="3"/>
          <c:tx>
            <c:strRef>
              <c:f>Sheet2!$E$3</c:f>
              <c:strCache>
                <c:ptCount val="1"/>
                <c:pt idx="0">
                  <c:v>Sum of Impressions</c:v>
                </c:pt>
              </c:strCache>
            </c:strRef>
          </c:tx>
          <c:spPr>
            <a:solidFill>
              <a:schemeClr val="accent4"/>
            </a:solidFill>
            <a:ln>
              <a:noFill/>
            </a:ln>
            <a:effectLst/>
          </c:spPr>
          <c:invertIfNegative val="0"/>
          <c:cat>
            <c:strRef>
              <c:f>Sheet2!$A$4:$A$6</c:f>
              <c:strCache>
                <c:ptCount val="2"/>
                <c:pt idx="0">
                  <c:v>2024</c:v>
                </c:pt>
                <c:pt idx="1">
                  <c:v>2025</c:v>
                </c:pt>
              </c:strCache>
            </c:strRef>
          </c:cat>
          <c:val>
            <c:numRef>
              <c:f>Sheet2!$E$4:$E$6</c:f>
              <c:numCache>
                <c:formatCode>General</c:formatCode>
                <c:ptCount val="2"/>
                <c:pt idx="0">
                  <c:v>27000</c:v>
                </c:pt>
                <c:pt idx="1">
                  <c:v>10000</c:v>
                </c:pt>
              </c:numCache>
            </c:numRef>
          </c:val>
          <c:extLst>
            <c:ext xmlns:c16="http://schemas.microsoft.com/office/drawing/2014/chart" uri="{C3380CC4-5D6E-409C-BE32-E72D297353CC}">
              <c16:uniqueId val="{00000003-284C-49AB-BFCA-88FE558FB7B2}"/>
            </c:ext>
          </c:extLst>
        </c:ser>
        <c:ser>
          <c:idx val="4"/>
          <c:order val="4"/>
          <c:tx>
            <c:strRef>
              <c:f>Sheet2!$F$3</c:f>
              <c:strCache>
                <c:ptCount val="1"/>
                <c:pt idx="0">
                  <c:v>Sum of Cost per click</c:v>
                </c:pt>
              </c:strCache>
            </c:strRef>
          </c:tx>
          <c:spPr>
            <a:solidFill>
              <a:schemeClr val="accent5"/>
            </a:solidFill>
            <a:ln>
              <a:noFill/>
            </a:ln>
            <a:effectLst/>
          </c:spPr>
          <c:invertIfNegative val="0"/>
          <c:cat>
            <c:strRef>
              <c:f>Sheet2!$A$4:$A$6</c:f>
              <c:strCache>
                <c:ptCount val="2"/>
                <c:pt idx="0">
                  <c:v>2024</c:v>
                </c:pt>
                <c:pt idx="1">
                  <c:v>2025</c:v>
                </c:pt>
              </c:strCache>
            </c:strRef>
          </c:cat>
          <c:val>
            <c:numRef>
              <c:f>Sheet2!$F$4:$F$6</c:f>
              <c:numCache>
                <c:formatCode>"R"#,##0.00</c:formatCode>
                <c:ptCount val="2"/>
                <c:pt idx="0">
                  <c:v>4.95</c:v>
                </c:pt>
                <c:pt idx="1">
                  <c:v>1</c:v>
                </c:pt>
              </c:numCache>
            </c:numRef>
          </c:val>
          <c:extLst>
            <c:ext xmlns:c16="http://schemas.microsoft.com/office/drawing/2014/chart" uri="{C3380CC4-5D6E-409C-BE32-E72D297353CC}">
              <c16:uniqueId val="{00000004-284C-49AB-BFCA-88FE558FB7B2}"/>
            </c:ext>
          </c:extLst>
        </c:ser>
        <c:ser>
          <c:idx val="5"/>
          <c:order val="5"/>
          <c:tx>
            <c:strRef>
              <c:f>Sheet2!$G$3</c:f>
              <c:strCache>
                <c:ptCount val="1"/>
                <c:pt idx="0">
                  <c:v>Sum of Conversation Rate</c:v>
                </c:pt>
              </c:strCache>
            </c:strRef>
          </c:tx>
          <c:spPr>
            <a:solidFill>
              <a:schemeClr val="accent6"/>
            </a:solidFill>
            <a:ln>
              <a:noFill/>
            </a:ln>
            <a:effectLst/>
          </c:spPr>
          <c:invertIfNegative val="0"/>
          <c:cat>
            <c:strRef>
              <c:f>Sheet2!$A$4:$A$6</c:f>
              <c:strCache>
                <c:ptCount val="2"/>
                <c:pt idx="0">
                  <c:v>2024</c:v>
                </c:pt>
                <c:pt idx="1">
                  <c:v>2025</c:v>
                </c:pt>
              </c:strCache>
            </c:strRef>
          </c:cat>
          <c:val>
            <c:numRef>
              <c:f>Sheet2!$G$4:$G$6</c:f>
              <c:numCache>
                <c:formatCode>0.0%</c:formatCode>
                <c:ptCount val="2"/>
                <c:pt idx="0">
                  <c:v>2.5653846153846152E-2</c:v>
                </c:pt>
                <c:pt idx="1">
                  <c:v>8.0000000000000002E-3</c:v>
                </c:pt>
              </c:numCache>
            </c:numRef>
          </c:val>
          <c:extLst>
            <c:ext xmlns:c16="http://schemas.microsoft.com/office/drawing/2014/chart" uri="{C3380CC4-5D6E-409C-BE32-E72D297353CC}">
              <c16:uniqueId val="{00000005-284C-49AB-BFCA-88FE558FB7B2}"/>
            </c:ext>
          </c:extLst>
        </c:ser>
        <c:dLbls>
          <c:showLegendKey val="0"/>
          <c:showVal val="0"/>
          <c:showCatName val="0"/>
          <c:showSerName val="0"/>
          <c:showPercent val="0"/>
          <c:showBubbleSize val="0"/>
        </c:dLbls>
        <c:gapWidth val="219"/>
        <c:overlap val="-27"/>
        <c:axId val="633727343"/>
        <c:axId val="633734063"/>
      </c:barChart>
      <c:catAx>
        <c:axId val="633727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734063"/>
        <c:crosses val="autoZero"/>
        <c:auto val="1"/>
        <c:lblAlgn val="ctr"/>
        <c:lblOffset val="100"/>
        <c:noMultiLvlLbl val="0"/>
      </c:catAx>
      <c:valAx>
        <c:axId val="6337340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Total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72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[Q4.xlsx]Sheet2!PivotTable2</c:name>
    <c:fmtId val="1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Sum of Clicks</c:v>
                </c:pt>
              </c:strCache>
            </c:strRef>
          </c:tx>
          <c:spPr>
            <a:ln w="28575" cap="rnd">
              <a:solidFill>
                <a:schemeClr val="accent1"/>
              </a:solidFill>
              <a:round/>
            </a:ln>
            <a:effectLst/>
          </c:spPr>
          <c:marker>
            <c:symbol val="none"/>
          </c:marker>
          <c:cat>
            <c:strRef>
              <c:f>Sheet2!$A$4:$A$6</c:f>
              <c:strCache>
                <c:ptCount val="2"/>
                <c:pt idx="0">
                  <c:v>2024</c:v>
                </c:pt>
                <c:pt idx="1">
                  <c:v>2025</c:v>
                </c:pt>
              </c:strCache>
            </c:strRef>
          </c:cat>
          <c:val>
            <c:numRef>
              <c:f>Sheet2!$B$4:$B$6</c:f>
              <c:numCache>
                <c:formatCode>General</c:formatCode>
                <c:ptCount val="2"/>
                <c:pt idx="0">
                  <c:v>900</c:v>
                </c:pt>
                <c:pt idx="1">
                  <c:v>400</c:v>
                </c:pt>
              </c:numCache>
            </c:numRef>
          </c:val>
          <c:smooth val="0"/>
          <c:extLst>
            <c:ext xmlns:c16="http://schemas.microsoft.com/office/drawing/2014/chart" uri="{C3380CC4-5D6E-409C-BE32-E72D297353CC}">
              <c16:uniqueId val="{00000000-DA1F-4B98-9F04-F06BD831B992}"/>
            </c:ext>
          </c:extLst>
        </c:ser>
        <c:ser>
          <c:idx val="1"/>
          <c:order val="1"/>
          <c:tx>
            <c:strRef>
              <c:f>Sheet2!$C$3</c:f>
              <c:strCache>
                <c:ptCount val="1"/>
                <c:pt idx="0">
                  <c:v>Sum of Cost</c:v>
                </c:pt>
              </c:strCache>
            </c:strRef>
          </c:tx>
          <c:spPr>
            <a:ln w="28575" cap="rnd">
              <a:solidFill>
                <a:schemeClr val="accent2"/>
              </a:solidFill>
              <a:round/>
            </a:ln>
            <a:effectLst/>
          </c:spPr>
          <c:marker>
            <c:symbol val="none"/>
          </c:marker>
          <c:cat>
            <c:strRef>
              <c:f>Sheet2!$A$4:$A$6</c:f>
              <c:strCache>
                <c:ptCount val="2"/>
                <c:pt idx="0">
                  <c:v>2024</c:v>
                </c:pt>
                <c:pt idx="1">
                  <c:v>2025</c:v>
                </c:pt>
              </c:strCache>
            </c:strRef>
          </c:cat>
          <c:val>
            <c:numRef>
              <c:f>Sheet2!$C$4:$C$6</c:f>
              <c:numCache>
                <c:formatCode>"R"#,##0</c:formatCode>
                <c:ptCount val="2"/>
                <c:pt idx="0">
                  <c:v>1100</c:v>
                </c:pt>
                <c:pt idx="1">
                  <c:v>400</c:v>
                </c:pt>
              </c:numCache>
            </c:numRef>
          </c:val>
          <c:smooth val="0"/>
          <c:extLst>
            <c:ext xmlns:c16="http://schemas.microsoft.com/office/drawing/2014/chart" uri="{C3380CC4-5D6E-409C-BE32-E72D297353CC}">
              <c16:uniqueId val="{00000001-DA1F-4B98-9F04-F06BD831B992}"/>
            </c:ext>
          </c:extLst>
        </c:ser>
        <c:ser>
          <c:idx val="2"/>
          <c:order val="2"/>
          <c:tx>
            <c:strRef>
              <c:f>Sheet2!$D$3</c:f>
              <c:strCache>
                <c:ptCount val="1"/>
                <c:pt idx="0">
                  <c:v>Sum of Conversions</c:v>
                </c:pt>
              </c:strCache>
            </c:strRef>
          </c:tx>
          <c:spPr>
            <a:ln w="28575" cap="rnd">
              <a:solidFill>
                <a:schemeClr val="accent3"/>
              </a:solidFill>
              <a:round/>
            </a:ln>
            <a:effectLst/>
          </c:spPr>
          <c:marker>
            <c:symbol val="none"/>
          </c:marker>
          <c:cat>
            <c:strRef>
              <c:f>Sheet2!$A$4:$A$6</c:f>
              <c:strCache>
                <c:ptCount val="2"/>
                <c:pt idx="0">
                  <c:v>2024</c:v>
                </c:pt>
                <c:pt idx="1">
                  <c:v>2025</c:v>
                </c:pt>
              </c:strCache>
            </c:strRef>
          </c:cat>
          <c:val>
            <c:numRef>
              <c:f>Sheet2!$D$4:$D$6</c:f>
              <c:numCache>
                <c:formatCode>General</c:formatCode>
                <c:ptCount val="2"/>
                <c:pt idx="0">
                  <c:v>175</c:v>
                </c:pt>
                <c:pt idx="1">
                  <c:v>80</c:v>
                </c:pt>
              </c:numCache>
            </c:numRef>
          </c:val>
          <c:smooth val="0"/>
          <c:extLst>
            <c:ext xmlns:c16="http://schemas.microsoft.com/office/drawing/2014/chart" uri="{C3380CC4-5D6E-409C-BE32-E72D297353CC}">
              <c16:uniqueId val="{00000002-DA1F-4B98-9F04-F06BD831B992}"/>
            </c:ext>
          </c:extLst>
        </c:ser>
        <c:ser>
          <c:idx val="3"/>
          <c:order val="3"/>
          <c:tx>
            <c:strRef>
              <c:f>Sheet2!$E$3</c:f>
              <c:strCache>
                <c:ptCount val="1"/>
                <c:pt idx="0">
                  <c:v>Sum of Impressions</c:v>
                </c:pt>
              </c:strCache>
            </c:strRef>
          </c:tx>
          <c:spPr>
            <a:ln w="28575" cap="rnd">
              <a:solidFill>
                <a:schemeClr val="accent4"/>
              </a:solidFill>
              <a:round/>
            </a:ln>
            <a:effectLst/>
          </c:spPr>
          <c:marker>
            <c:symbol val="none"/>
          </c:marker>
          <c:cat>
            <c:strRef>
              <c:f>Sheet2!$A$4:$A$6</c:f>
              <c:strCache>
                <c:ptCount val="2"/>
                <c:pt idx="0">
                  <c:v>2024</c:v>
                </c:pt>
                <c:pt idx="1">
                  <c:v>2025</c:v>
                </c:pt>
              </c:strCache>
            </c:strRef>
          </c:cat>
          <c:val>
            <c:numRef>
              <c:f>Sheet2!$E$4:$E$6</c:f>
              <c:numCache>
                <c:formatCode>General</c:formatCode>
                <c:ptCount val="2"/>
                <c:pt idx="0">
                  <c:v>27000</c:v>
                </c:pt>
                <c:pt idx="1">
                  <c:v>10000</c:v>
                </c:pt>
              </c:numCache>
            </c:numRef>
          </c:val>
          <c:smooth val="0"/>
          <c:extLst>
            <c:ext xmlns:c16="http://schemas.microsoft.com/office/drawing/2014/chart" uri="{C3380CC4-5D6E-409C-BE32-E72D297353CC}">
              <c16:uniqueId val="{00000003-DA1F-4B98-9F04-F06BD831B992}"/>
            </c:ext>
          </c:extLst>
        </c:ser>
        <c:ser>
          <c:idx val="4"/>
          <c:order val="4"/>
          <c:tx>
            <c:strRef>
              <c:f>Sheet2!$F$3</c:f>
              <c:strCache>
                <c:ptCount val="1"/>
                <c:pt idx="0">
                  <c:v>Sum of Cost per click</c:v>
                </c:pt>
              </c:strCache>
            </c:strRef>
          </c:tx>
          <c:spPr>
            <a:ln w="28575" cap="rnd">
              <a:solidFill>
                <a:schemeClr val="accent5"/>
              </a:solidFill>
              <a:round/>
            </a:ln>
            <a:effectLst/>
          </c:spPr>
          <c:marker>
            <c:symbol val="none"/>
          </c:marker>
          <c:cat>
            <c:strRef>
              <c:f>Sheet2!$A$4:$A$6</c:f>
              <c:strCache>
                <c:ptCount val="2"/>
                <c:pt idx="0">
                  <c:v>2024</c:v>
                </c:pt>
                <c:pt idx="1">
                  <c:v>2025</c:v>
                </c:pt>
              </c:strCache>
            </c:strRef>
          </c:cat>
          <c:val>
            <c:numRef>
              <c:f>Sheet2!$F$4:$F$6</c:f>
              <c:numCache>
                <c:formatCode>"R"#,##0.00</c:formatCode>
                <c:ptCount val="2"/>
                <c:pt idx="0">
                  <c:v>4.95</c:v>
                </c:pt>
                <c:pt idx="1">
                  <c:v>1</c:v>
                </c:pt>
              </c:numCache>
            </c:numRef>
          </c:val>
          <c:smooth val="0"/>
          <c:extLst>
            <c:ext xmlns:c16="http://schemas.microsoft.com/office/drawing/2014/chart" uri="{C3380CC4-5D6E-409C-BE32-E72D297353CC}">
              <c16:uniqueId val="{00000004-DA1F-4B98-9F04-F06BD831B992}"/>
            </c:ext>
          </c:extLst>
        </c:ser>
        <c:ser>
          <c:idx val="5"/>
          <c:order val="5"/>
          <c:tx>
            <c:strRef>
              <c:f>Sheet2!$G$3</c:f>
              <c:strCache>
                <c:ptCount val="1"/>
                <c:pt idx="0">
                  <c:v>Sum of Conversation Rate</c:v>
                </c:pt>
              </c:strCache>
            </c:strRef>
          </c:tx>
          <c:spPr>
            <a:ln w="28575" cap="rnd">
              <a:solidFill>
                <a:schemeClr val="accent6"/>
              </a:solidFill>
              <a:round/>
            </a:ln>
            <a:effectLst/>
          </c:spPr>
          <c:marker>
            <c:symbol val="none"/>
          </c:marker>
          <c:cat>
            <c:strRef>
              <c:f>Sheet2!$A$4:$A$6</c:f>
              <c:strCache>
                <c:ptCount val="2"/>
                <c:pt idx="0">
                  <c:v>2024</c:v>
                </c:pt>
                <c:pt idx="1">
                  <c:v>2025</c:v>
                </c:pt>
              </c:strCache>
            </c:strRef>
          </c:cat>
          <c:val>
            <c:numRef>
              <c:f>Sheet2!$G$4:$G$6</c:f>
              <c:numCache>
                <c:formatCode>0.0%</c:formatCode>
                <c:ptCount val="2"/>
                <c:pt idx="0">
                  <c:v>2.5653846153846152E-2</c:v>
                </c:pt>
                <c:pt idx="1">
                  <c:v>8.0000000000000002E-3</c:v>
                </c:pt>
              </c:numCache>
            </c:numRef>
          </c:val>
          <c:smooth val="0"/>
          <c:extLst>
            <c:ext xmlns:c16="http://schemas.microsoft.com/office/drawing/2014/chart" uri="{C3380CC4-5D6E-409C-BE32-E72D297353CC}">
              <c16:uniqueId val="{00000005-DA1F-4B98-9F04-F06BD831B992}"/>
            </c:ext>
          </c:extLst>
        </c:ser>
        <c:dLbls>
          <c:showLegendKey val="0"/>
          <c:showVal val="0"/>
          <c:showCatName val="0"/>
          <c:showSerName val="0"/>
          <c:showPercent val="0"/>
          <c:showBubbleSize val="0"/>
        </c:dLbls>
        <c:smooth val="0"/>
        <c:axId val="1805089263"/>
        <c:axId val="1805106063"/>
      </c:lineChart>
      <c:catAx>
        <c:axId val="180508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106063"/>
        <c:crosses val="autoZero"/>
        <c:auto val="1"/>
        <c:lblAlgn val="ctr"/>
        <c:lblOffset val="100"/>
        <c:noMultiLvlLbl val="0"/>
      </c:catAx>
      <c:valAx>
        <c:axId val="1805106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089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[Q4.xlsx]Sheet1!PivotTable1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Performace by Campaign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Sum of Clicks</c:v>
                </c:pt>
              </c:strCache>
            </c:strRef>
          </c:tx>
          <c:spPr>
            <a:solidFill>
              <a:schemeClr val="accent1"/>
            </a:solidFill>
            <a:ln>
              <a:noFill/>
            </a:ln>
            <a:effectLst/>
            <a:sp3d/>
          </c:spPr>
          <c:invertIfNegative val="0"/>
          <c:cat>
            <c:strRef>
              <c:f>Sheet1!$A$4:$A$9</c:f>
              <c:strCache>
                <c:ptCount val="5"/>
                <c:pt idx="0">
                  <c:v>Spring Promo</c:v>
                </c:pt>
                <c:pt idx="1">
                  <c:v>Fall Sale</c:v>
                </c:pt>
                <c:pt idx="2">
                  <c:v>Summer Special</c:v>
                </c:pt>
                <c:pt idx="3">
                  <c:v>Winter Blast</c:v>
                </c:pt>
                <c:pt idx="4">
                  <c:v>New Year Deal</c:v>
                </c:pt>
              </c:strCache>
            </c:strRef>
          </c:cat>
          <c:val>
            <c:numRef>
              <c:f>Sheet1!$B$4:$B$9</c:f>
              <c:numCache>
                <c:formatCode>General</c:formatCode>
                <c:ptCount val="5"/>
                <c:pt idx="0">
                  <c:v>150</c:v>
                </c:pt>
                <c:pt idx="1">
                  <c:v>200</c:v>
                </c:pt>
                <c:pt idx="2">
                  <c:v>250</c:v>
                </c:pt>
                <c:pt idx="3">
                  <c:v>300</c:v>
                </c:pt>
                <c:pt idx="4">
                  <c:v>400</c:v>
                </c:pt>
              </c:numCache>
            </c:numRef>
          </c:val>
          <c:extLst>
            <c:ext xmlns:c16="http://schemas.microsoft.com/office/drawing/2014/chart" uri="{C3380CC4-5D6E-409C-BE32-E72D297353CC}">
              <c16:uniqueId val="{00000000-76F3-47EC-9579-9D2F170A27E8}"/>
            </c:ext>
          </c:extLst>
        </c:ser>
        <c:ser>
          <c:idx val="1"/>
          <c:order val="1"/>
          <c:tx>
            <c:strRef>
              <c:f>Sheet1!$C$3</c:f>
              <c:strCache>
                <c:ptCount val="1"/>
                <c:pt idx="0">
                  <c:v>Sum of Impressions</c:v>
                </c:pt>
              </c:strCache>
            </c:strRef>
          </c:tx>
          <c:spPr>
            <a:solidFill>
              <a:schemeClr val="accent2"/>
            </a:solidFill>
            <a:ln>
              <a:noFill/>
            </a:ln>
            <a:effectLst/>
            <a:sp3d/>
          </c:spPr>
          <c:invertIfNegative val="0"/>
          <c:cat>
            <c:strRef>
              <c:f>Sheet1!$A$4:$A$9</c:f>
              <c:strCache>
                <c:ptCount val="5"/>
                <c:pt idx="0">
                  <c:v>Spring Promo</c:v>
                </c:pt>
                <c:pt idx="1">
                  <c:v>Fall Sale</c:v>
                </c:pt>
                <c:pt idx="2">
                  <c:v>Summer Special</c:v>
                </c:pt>
                <c:pt idx="3">
                  <c:v>Winter Blast</c:v>
                </c:pt>
                <c:pt idx="4">
                  <c:v>New Year Deal</c:v>
                </c:pt>
              </c:strCache>
            </c:strRef>
          </c:cat>
          <c:val>
            <c:numRef>
              <c:f>Sheet1!$C$4:$C$9</c:f>
              <c:numCache>
                <c:formatCode>"R"#,##0</c:formatCode>
                <c:ptCount val="5"/>
                <c:pt idx="0">
                  <c:v>5000</c:v>
                </c:pt>
                <c:pt idx="1">
                  <c:v>6500</c:v>
                </c:pt>
                <c:pt idx="2">
                  <c:v>7500</c:v>
                </c:pt>
                <c:pt idx="3">
                  <c:v>8000</c:v>
                </c:pt>
                <c:pt idx="4">
                  <c:v>10000</c:v>
                </c:pt>
              </c:numCache>
            </c:numRef>
          </c:val>
          <c:extLst>
            <c:ext xmlns:c16="http://schemas.microsoft.com/office/drawing/2014/chart" uri="{C3380CC4-5D6E-409C-BE32-E72D297353CC}">
              <c16:uniqueId val="{00000001-76F3-47EC-9579-9D2F170A27E8}"/>
            </c:ext>
          </c:extLst>
        </c:ser>
        <c:ser>
          <c:idx val="2"/>
          <c:order val="2"/>
          <c:tx>
            <c:strRef>
              <c:f>Sheet1!$D$3</c:f>
              <c:strCache>
                <c:ptCount val="1"/>
                <c:pt idx="0">
                  <c:v>Sum of Cost</c:v>
                </c:pt>
              </c:strCache>
            </c:strRef>
          </c:tx>
          <c:spPr>
            <a:solidFill>
              <a:schemeClr val="accent3"/>
            </a:solidFill>
            <a:ln>
              <a:noFill/>
            </a:ln>
            <a:effectLst/>
            <a:sp3d/>
          </c:spPr>
          <c:invertIfNegative val="0"/>
          <c:cat>
            <c:strRef>
              <c:f>Sheet1!$A$4:$A$9</c:f>
              <c:strCache>
                <c:ptCount val="5"/>
                <c:pt idx="0">
                  <c:v>Spring Promo</c:v>
                </c:pt>
                <c:pt idx="1">
                  <c:v>Fall Sale</c:v>
                </c:pt>
                <c:pt idx="2">
                  <c:v>Summer Special</c:v>
                </c:pt>
                <c:pt idx="3">
                  <c:v>Winter Blast</c:v>
                </c:pt>
                <c:pt idx="4">
                  <c:v>New Year Deal</c:v>
                </c:pt>
              </c:strCache>
            </c:strRef>
          </c:cat>
          <c:val>
            <c:numRef>
              <c:f>Sheet1!$D$4:$D$9</c:f>
              <c:numCache>
                <c:formatCode>"R"#,##0</c:formatCode>
                <c:ptCount val="5"/>
                <c:pt idx="0">
                  <c:v>200</c:v>
                </c:pt>
                <c:pt idx="1">
                  <c:v>250</c:v>
                </c:pt>
                <c:pt idx="2">
                  <c:v>300</c:v>
                </c:pt>
                <c:pt idx="3">
                  <c:v>350</c:v>
                </c:pt>
                <c:pt idx="4">
                  <c:v>400</c:v>
                </c:pt>
              </c:numCache>
            </c:numRef>
          </c:val>
          <c:extLst>
            <c:ext xmlns:c16="http://schemas.microsoft.com/office/drawing/2014/chart" uri="{C3380CC4-5D6E-409C-BE32-E72D297353CC}">
              <c16:uniqueId val="{00000002-76F3-47EC-9579-9D2F170A27E8}"/>
            </c:ext>
          </c:extLst>
        </c:ser>
        <c:ser>
          <c:idx val="3"/>
          <c:order val="3"/>
          <c:tx>
            <c:strRef>
              <c:f>Sheet1!$E$3</c:f>
              <c:strCache>
                <c:ptCount val="1"/>
                <c:pt idx="0">
                  <c:v>Sum of Conversions</c:v>
                </c:pt>
              </c:strCache>
            </c:strRef>
          </c:tx>
          <c:spPr>
            <a:solidFill>
              <a:schemeClr val="accent4"/>
            </a:solidFill>
            <a:ln>
              <a:noFill/>
            </a:ln>
            <a:effectLst/>
            <a:sp3d/>
          </c:spPr>
          <c:invertIfNegative val="0"/>
          <c:cat>
            <c:strRef>
              <c:f>Sheet1!$A$4:$A$9</c:f>
              <c:strCache>
                <c:ptCount val="5"/>
                <c:pt idx="0">
                  <c:v>Spring Promo</c:v>
                </c:pt>
                <c:pt idx="1">
                  <c:v>Fall Sale</c:v>
                </c:pt>
                <c:pt idx="2">
                  <c:v>Summer Special</c:v>
                </c:pt>
                <c:pt idx="3">
                  <c:v>Winter Blast</c:v>
                </c:pt>
                <c:pt idx="4">
                  <c:v>New Year Deal</c:v>
                </c:pt>
              </c:strCache>
            </c:strRef>
          </c:cat>
          <c:val>
            <c:numRef>
              <c:f>Sheet1!$E$4:$E$9</c:f>
              <c:numCache>
                <c:formatCode>General</c:formatCode>
                <c:ptCount val="5"/>
                <c:pt idx="0">
                  <c:v>30</c:v>
                </c:pt>
                <c:pt idx="1">
                  <c:v>40</c:v>
                </c:pt>
                <c:pt idx="2">
                  <c:v>45</c:v>
                </c:pt>
                <c:pt idx="3">
                  <c:v>60</c:v>
                </c:pt>
                <c:pt idx="4">
                  <c:v>80</c:v>
                </c:pt>
              </c:numCache>
            </c:numRef>
          </c:val>
          <c:extLst>
            <c:ext xmlns:c16="http://schemas.microsoft.com/office/drawing/2014/chart" uri="{C3380CC4-5D6E-409C-BE32-E72D297353CC}">
              <c16:uniqueId val="{00000003-76F3-47EC-9579-9D2F170A27E8}"/>
            </c:ext>
          </c:extLst>
        </c:ser>
        <c:ser>
          <c:idx val="4"/>
          <c:order val="4"/>
          <c:tx>
            <c:strRef>
              <c:f>Sheet1!$F$3</c:f>
              <c:strCache>
                <c:ptCount val="1"/>
                <c:pt idx="0">
                  <c:v>Sum of Cost per click</c:v>
                </c:pt>
              </c:strCache>
            </c:strRef>
          </c:tx>
          <c:spPr>
            <a:solidFill>
              <a:schemeClr val="accent5"/>
            </a:solidFill>
            <a:ln>
              <a:noFill/>
            </a:ln>
            <a:effectLst/>
            <a:sp3d/>
          </c:spPr>
          <c:invertIfNegative val="0"/>
          <c:cat>
            <c:strRef>
              <c:f>Sheet1!$A$4:$A$9</c:f>
              <c:strCache>
                <c:ptCount val="5"/>
                <c:pt idx="0">
                  <c:v>Spring Promo</c:v>
                </c:pt>
                <c:pt idx="1">
                  <c:v>Fall Sale</c:v>
                </c:pt>
                <c:pt idx="2">
                  <c:v>Summer Special</c:v>
                </c:pt>
                <c:pt idx="3">
                  <c:v>Winter Blast</c:v>
                </c:pt>
                <c:pt idx="4">
                  <c:v>New Year Deal</c:v>
                </c:pt>
              </c:strCache>
            </c:strRef>
          </c:cat>
          <c:val>
            <c:numRef>
              <c:f>Sheet1!$F$4:$F$9</c:f>
              <c:numCache>
                <c:formatCode>"R"#,##0.00</c:formatCode>
                <c:ptCount val="5"/>
                <c:pt idx="0">
                  <c:v>1.3333333333333333</c:v>
                </c:pt>
                <c:pt idx="1">
                  <c:v>1.25</c:v>
                </c:pt>
                <c:pt idx="2">
                  <c:v>1.2</c:v>
                </c:pt>
                <c:pt idx="3">
                  <c:v>1.1666666666666667</c:v>
                </c:pt>
                <c:pt idx="4">
                  <c:v>1</c:v>
                </c:pt>
              </c:numCache>
            </c:numRef>
          </c:val>
          <c:extLst>
            <c:ext xmlns:c16="http://schemas.microsoft.com/office/drawing/2014/chart" uri="{C3380CC4-5D6E-409C-BE32-E72D297353CC}">
              <c16:uniqueId val="{00000004-76F3-47EC-9579-9D2F170A27E8}"/>
            </c:ext>
          </c:extLst>
        </c:ser>
        <c:ser>
          <c:idx val="5"/>
          <c:order val="5"/>
          <c:tx>
            <c:strRef>
              <c:f>Sheet1!$G$3</c:f>
              <c:strCache>
                <c:ptCount val="1"/>
                <c:pt idx="0">
                  <c:v>Sum of Conversation Rate</c:v>
                </c:pt>
              </c:strCache>
            </c:strRef>
          </c:tx>
          <c:spPr>
            <a:solidFill>
              <a:schemeClr val="accent6"/>
            </a:solidFill>
            <a:ln>
              <a:noFill/>
            </a:ln>
            <a:effectLst/>
            <a:sp3d/>
          </c:spPr>
          <c:invertIfNegative val="0"/>
          <c:cat>
            <c:strRef>
              <c:f>Sheet1!$A$4:$A$9</c:f>
              <c:strCache>
                <c:ptCount val="5"/>
                <c:pt idx="0">
                  <c:v>Spring Promo</c:v>
                </c:pt>
                <c:pt idx="1">
                  <c:v>Fall Sale</c:v>
                </c:pt>
                <c:pt idx="2">
                  <c:v>Summer Special</c:v>
                </c:pt>
                <c:pt idx="3">
                  <c:v>Winter Blast</c:v>
                </c:pt>
                <c:pt idx="4">
                  <c:v>New Year Deal</c:v>
                </c:pt>
              </c:strCache>
            </c:strRef>
          </c:cat>
          <c:val>
            <c:numRef>
              <c:f>Sheet1!$G$4:$G$9</c:f>
              <c:numCache>
                <c:formatCode>0.0%</c:formatCode>
                <c:ptCount val="5"/>
                <c:pt idx="0">
                  <c:v>6.0000000000000001E-3</c:v>
                </c:pt>
                <c:pt idx="1">
                  <c:v>6.1538461538461538E-3</c:v>
                </c:pt>
                <c:pt idx="2">
                  <c:v>6.0000000000000001E-3</c:v>
                </c:pt>
                <c:pt idx="3">
                  <c:v>7.4999999999999997E-3</c:v>
                </c:pt>
                <c:pt idx="4">
                  <c:v>8.0000000000000002E-3</c:v>
                </c:pt>
              </c:numCache>
            </c:numRef>
          </c:val>
          <c:extLst>
            <c:ext xmlns:c16="http://schemas.microsoft.com/office/drawing/2014/chart" uri="{C3380CC4-5D6E-409C-BE32-E72D297353CC}">
              <c16:uniqueId val="{00000005-76F3-47EC-9579-9D2F170A27E8}"/>
            </c:ext>
          </c:extLst>
        </c:ser>
        <c:dLbls>
          <c:showLegendKey val="0"/>
          <c:showVal val="0"/>
          <c:showCatName val="0"/>
          <c:showSerName val="0"/>
          <c:showPercent val="0"/>
          <c:showBubbleSize val="0"/>
        </c:dLbls>
        <c:gapWidth val="150"/>
        <c:shape val="box"/>
        <c:axId val="1805143023"/>
        <c:axId val="1805143503"/>
        <c:axId val="0"/>
      </c:bar3DChart>
      <c:catAx>
        <c:axId val="18051430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Campaign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143503"/>
        <c:crosses val="autoZero"/>
        <c:auto val="1"/>
        <c:lblAlgn val="ctr"/>
        <c:lblOffset val="100"/>
        <c:noMultiLvlLbl val="0"/>
      </c:catAx>
      <c:valAx>
        <c:axId val="18051435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Total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14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[Q4.xlsx]Sheet3!PivotTable3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Cost</a:t>
            </a:r>
            <a:r>
              <a:rPr lang="en-ZA" baseline="0"/>
              <a:t> Efficiency</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Cost</c:v>
                </c:pt>
              </c:strCache>
            </c:strRef>
          </c:tx>
          <c:spPr>
            <a:solidFill>
              <a:schemeClr val="accent1"/>
            </a:solidFill>
            <a:ln w="19050">
              <a:solidFill>
                <a:schemeClr val="lt1"/>
              </a:solidFill>
            </a:ln>
            <a:effectLst/>
          </c:spPr>
          <c:invertIfNegative val="0"/>
          <c:cat>
            <c:strRef>
              <c:f>Sheet3!$A$4:$A$9</c:f>
              <c:strCache>
                <c:ptCount val="5"/>
                <c:pt idx="0">
                  <c:v>Spring Promo</c:v>
                </c:pt>
                <c:pt idx="1">
                  <c:v>Fall Sale</c:v>
                </c:pt>
                <c:pt idx="2">
                  <c:v>Summer Special</c:v>
                </c:pt>
                <c:pt idx="3">
                  <c:v>Winter Blast</c:v>
                </c:pt>
                <c:pt idx="4">
                  <c:v>New Year Deal</c:v>
                </c:pt>
              </c:strCache>
            </c:strRef>
          </c:cat>
          <c:val>
            <c:numRef>
              <c:f>Sheet3!$B$4:$B$9</c:f>
              <c:numCache>
                <c:formatCode>"R"#,##0</c:formatCode>
                <c:ptCount val="5"/>
                <c:pt idx="0">
                  <c:v>200</c:v>
                </c:pt>
                <c:pt idx="1">
                  <c:v>250</c:v>
                </c:pt>
                <c:pt idx="2">
                  <c:v>300</c:v>
                </c:pt>
                <c:pt idx="3">
                  <c:v>350</c:v>
                </c:pt>
                <c:pt idx="4">
                  <c:v>400</c:v>
                </c:pt>
              </c:numCache>
            </c:numRef>
          </c:val>
          <c:extLst>
            <c:ext xmlns:c16="http://schemas.microsoft.com/office/drawing/2014/chart" uri="{C3380CC4-5D6E-409C-BE32-E72D297353CC}">
              <c16:uniqueId val="{00000000-B107-4B8B-8194-955E3C034E5A}"/>
            </c:ext>
          </c:extLst>
        </c:ser>
        <c:ser>
          <c:idx val="1"/>
          <c:order val="1"/>
          <c:tx>
            <c:strRef>
              <c:f>Sheet3!$C$3</c:f>
              <c:strCache>
                <c:ptCount val="1"/>
                <c:pt idx="0">
                  <c:v>Sum of Clicks</c:v>
                </c:pt>
              </c:strCache>
            </c:strRef>
          </c:tx>
          <c:spPr>
            <a:solidFill>
              <a:schemeClr val="accent2"/>
            </a:solidFill>
            <a:ln w="19050">
              <a:solidFill>
                <a:schemeClr val="lt1"/>
              </a:solidFill>
            </a:ln>
            <a:effectLst/>
          </c:spPr>
          <c:invertIfNegative val="0"/>
          <c:cat>
            <c:strRef>
              <c:f>Sheet3!$A$4:$A$9</c:f>
              <c:strCache>
                <c:ptCount val="5"/>
                <c:pt idx="0">
                  <c:v>Spring Promo</c:v>
                </c:pt>
                <c:pt idx="1">
                  <c:v>Fall Sale</c:v>
                </c:pt>
                <c:pt idx="2">
                  <c:v>Summer Special</c:v>
                </c:pt>
                <c:pt idx="3">
                  <c:v>Winter Blast</c:v>
                </c:pt>
                <c:pt idx="4">
                  <c:v>New Year Deal</c:v>
                </c:pt>
              </c:strCache>
            </c:strRef>
          </c:cat>
          <c:val>
            <c:numRef>
              <c:f>Sheet3!$C$4:$C$9</c:f>
              <c:numCache>
                <c:formatCode>General</c:formatCode>
                <c:ptCount val="5"/>
                <c:pt idx="0">
                  <c:v>150</c:v>
                </c:pt>
                <c:pt idx="1">
                  <c:v>200</c:v>
                </c:pt>
                <c:pt idx="2">
                  <c:v>250</c:v>
                </c:pt>
                <c:pt idx="3">
                  <c:v>300</c:v>
                </c:pt>
                <c:pt idx="4">
                  <c:v>400</c:v>
                </c:pt>
              </c:numCache>
            </c:numRef>
          </c:val>
          <c:extLst>
            <c:ext xmlns:c16="http://schemas.microsoft.com/office/drawing/2014/chart" uri="{C3380CC4-5D6E-409C-BE32-E72D297353CC}">
              <c16:uniqueId val="{00000001-B107-4B8B-8194-955E3C034E5A}"/>
            </c:ext>
          </c:extLst>
        </c:ser>
        <c:dLbls>
          <c:showLegendKey val="0"/>
          <c:showVal val="0"/>
          <c:showCatName val="0"/>
          <c:showSerName val="0"/>
          <c:showPercent val="0"/>
          <c:showBubbleSize val="0"/>
        </c:dLbls>
        <c:gapWidth val="150"/>
        <c:axId val="2047436159"/>
        <c:axId val="2047442879"/>
      </c:barChart>
      <c:lineChart>
        <c:grouping val="standard"/>
        <c:varyColors val="0"/>
        <c:ser>
          <c:idx val="2"/>
          <c:order val="2"/>
          <c:tx>
            <c:strRef>
              <c:f>Sheet3!$D$3</c:f>
              <c:strCache>
                <c:ptCount val="1"/>
                <c:pt idx="0">
                  <c:v>Sum of Cost per Conversation</c:v>
                </c:pt>
              </c:strCache>
            </c:strRef>
          </c:tx>
          <c:spPr>
            <a:ln w="28575" cap="rnd">
              <a:solidFill>
                <a:schemeClr val="accent3"/>
              </a:solidFill>
              <a:round/>
            </a:ln>
            <a:effectLst/>
          </c:spPr>
          <c:marker>
            <c:symbol val="none"/>
          </c:marker>
          <c:cat>
            <c:strRef>
              <c:f>Sheet3!$A$4:$A$9</c:f>
              <c:strCache>
                <c:ptCount val="5"/>
                <c:pt idx="0">
                  <c:v>Spring Promo</c:v>
                </c:pt>
                <c:pt idx="1">
                  <c:v>Fall Sale</c:v>
                </c:pt>
                <c:pt idx="2">
                  <c:v>Summer Special</c:v>
                </c:pt>
                <c:pt idx="3">
                  <c:v>Winter Blast</c:v>
                </c:pt>
                <c:pt idx="4">
                  <c:v>New Year Deal</c:v>
                </c:pt>
              </c:strCache>
            </c:strRef>
          </c:cat>
          <c:val>
            <c:numRef>
              <c:f>Sheet3!$D$4:$D$9</c:f>
              <c:numCache>
                <c:formatCode>0%</c:formatCode>
                <c:ptCount val="5"/>
                <c:pt idx="0">
                  <c:v>0.2</c:v>
                </c:pt>
                <c:pt idx="1">
                  <c:v>0.2</c:v>
                </c:pt>
                <c:pt idx="2">
                  <c:v>0.18</c:v>
                </c:pt>
                <c:pt idx="3">
                  <c:v>0.2</c:v>
                </c:pt>
                <c:pt idx="4">
                  <c:v>0.2</c:v>
                </c:pt>
              </c:numCache>
            </c:numRef>
          </c:val>
          <c:smooth val="0"/>
          <c:extLst>
            <c:ext xmlns:c16="http://schemas.microsoft.com/office/drawing/2014/chart" uri="{C3380CC4-5D6E-409C-BE32-E72D297353CC}">
              <c16:uniqueId val="{00000002-B107-4B8B-8194-955E3C034E5A}"/>
            </c:ext>
          </c:extLst>
        </c:ser>
        <c:dLbls>
          <c:showLegendKey val="0"/>
          <c:showVal val="0"/>
          <c:showCatName val="0"/>
          <c:showSerName val="0"/>
          <c:showPercent val="0"/>
          <c:showBubbleSize val="0"/>
        </c:dLbls>
        <c:marker val="1"/>
        <c:smooth val="0"/>
        <c:axId val="2047436159"/>
        <c:axId val="2047442879"/>
      </c:lineChart>
      <c:catAx>
        <c:axId val="2047436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Campaign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442879"/>
        <c:auto val="1"/>
        <c:lblAlgn val="ctr"/>
        <c:lblOffset val="100"/>
        <c:noMultiLvlLbl val="0"/>
      </c:catAx>
      <c:valAx>
        <c:axId val="20474428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Total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R&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436159"/>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[Q4.xlsx]Sheet2!PivotTable2</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Clicks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Sheet2!$A$4:$A$6</c:f>
              <c:strCache>
                <c:ptCount val="2"/>
                <c:pt idx="0">
                  <c:v>2024</c:v>
                </c:pt>
                <c:pt idx="1">
                  <c:v>2025</c:v>
                </c:pt>
              </c:strCache>
            </c:strRef>
          </c:cat>
          <c:val>
            <c:numRef>
              <c:f>Sheet2!$B$4:$B$6</c:f>
              <c:numCache>
                <c:formatCode>General</c:formatCode>
                <c:ptCount val="2"/>
                <c:pt idx="0">
                  <c:v>900</c:v>
                </c:pt>
                <c:pt idx="1">
                  <c:v>400</c:v>
                </c:pt>
              </c:numCache>
            </c:numRef>
          </c:val>
          <c:extLst>
            <c:ext xmlns:c16="http://schemas.microsoft.com/office/drawing/2014/chart" uri="{C3380CC4-5D6E-409C-BE32-E72D297353CC}">
              <c16:uniqueId val="{00000000-CD2A-4608-802E-9BA8AB2D0222}"/>
            </c:ext>
          </c:extLst>
        </c:ser>
        <c:ser>
          <c:idx val="1"/>
          <c:order val="1"/>
          <c:tx>
            <c:strRef>
              <c:f>Sheet2!$C$3</c:f>
              <c:strCache>
                <c:ptCount val="1"/>
                <c:pt idx="0">
                  <c:v>Sum of Cost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Sheet2!$A$4:$A$6</c:f>
              <c:strCache>
                <c:ptCount val="2"/>
                <c:pt idx="0">
                  <c:v>2024</c:v>
                </c:pt>
                <c:pt idx="1">
                  <c:v>2025</c:v>
                </c:pt>
              </c:strCache>
            </c:strRef>
          </c:cat>
          <c:val>
            <c:numRef>
              <c:f>Sheet2!$C$4:$C$6</c:f>
              <c:numCache>
                <c:formatCode>"R"#,##0</c:formatCode>
                <c:ptCount val="2"/>
                <c:pt idx="0">
                  <c:v>1100</c:v>
                </c:pt>
                <c:pt idx="1">
                  <c:v>400</c:v>
                </c:pt>
              </c:numCache>
            </c:numRef>
          </c:val>
          <c:extLst>
            <c:ext xmlns:c16="http://schemas.microsoft.com/office/drawing/2014/chart" uri="{C3380CC4-5D6E-409C-BE32-E72D297353CC}">
              <c16:uniqueId val="{00000001-CD2A-4608-802E-9BA8AB2D0222}"/>
            </c:ext>
          </c:extLst>
        </c:ser>
        <c:ser>
          <c:idx val="2"/>
          <c:order val="2"/>
          <c:tx>
            <c:strRef>
              <c:f>Sheet2!$D$3</c:f>
              <c:strCache>
                <c:ptCount val="1"/>
                <c:pt idx="0">
                  <c:v>Sum of Conversions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Sheet2!$A$4:$A$6</c:f>
              <c:strCache>
                <c:ptCount val="2"/>
                <c:pt idx="0">
                  <c:v>2024</c:v>
                </c:pt>
                <c:pt idx="1">
                  <c:v>2025</c:v>
                </c:pt>
              </c:strCache>
            </c:strRef>
          </c:cat>
          <c:val>
            <c:numRef>
              <c:f>Sheet2!$D$4:$D$6</c:f>
              <c:numCache>
                <c:formatCode>General</c:formatCode>
                <c:ptCount val="2"/>
                <c:pt idx="0">
                  <c:v>175</c:v>
                </c:pt>
                <c:pt idx="1">
                  <c:v>80</c:v>
                </c:pt>
              </c:numCache>
            </c:numRef>
          </c:val>
          <c:extLst>
            <c:ext xmlns:c16="http://schemas.microsoft.com/office/drawing/2014/chart" uri="{C3380CC4-5D6E-409C-BE32-E72D297353CC}">
              <c16:uniqueId val="{00000002-CD2A-4608-802E-9BA8AB2D0222}"/>
            </c:ext>
          </c:extLst>
        </c:ser>
        <c:ser>
          <c:idx val="3"/>
          <c:order val="3"/>
          <c:tx>
            <c:strRef>
              <c:f>Sheet2!$E$3</c:f>
              <c:strCache>
                <c:ptCount val="1"/>
                <c:pt idx="0">
                  <c:v>Sum of Impressions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Sheet2!$A$4:$A$6</c:f>
              <c:strCache>
                <c:ptCount val="2"/>
                <c:pt idx="0">
                  <c:v>2024</c:v>
                </c:pt>
                <c:pt idx="1">
                  <c:v>2025</c:v>
                </c:pt>
              </c:strCache>
            </c:strRef>
          </c:cat>
          <c:val>
            <c:numRef>
              <c:f>Sheet2!$E$4:$E$6</c:f>
              <c:numCache>
                <c:formatCode>General</c:formatCode>
                <c:ptCount val="2"/>
                <c:pt idx="0">
                  <c:v>27000</c:v>
                </c:pt>
                <c:pt idx="1">
                  <c:v>10000</c:v>
                </c:pt>
              </c:numCache>
            </c:numRef>
          </c:val>
          <c:extLst>
            <c:ext xmlns:c16="http://schemas.microsoft.com/office/drawing/2014/chart" uri="{C3380CC4-5D6E-409C-BE32-E72D297353CC}">
              <c16:uniqueId val="{00000003-CD2A-4608-802E-9BA8AB2D0222}"/>
            </c:ext>
          </c:extLst>
        </c:ser>
        <c:ser>
          <c:idx val="4"/>
          <c:order val="4"/>
          <c:tx>
            <c:strRef>
              <c:f>Sheet2!$F$3</c:f>
              <c:strCache>
                <c:ptCount val="1"/>
                <c:pt idx="0">
                  <c:v>Sum of Cost per click</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Sheet2!$A$4:$A$6</c:f>
              <c:strCache>
                <c:ptCount val="2"/>
                <c:pt idx="0">
                  <c:v>2024</c:v>
                </c:pt>
                <c:pt idx="1">
                  <c:v>2025</c:v>
                </c:pt>
              </c:strCache>
            </c:strRef>
          </c:cat>
          <c:val>
            <c:numRef>
              <c:f>Sheet2!$F$4:$F$6</c:f>
              <c:numCache>
                <c:formatCode>"R"#,##0.00</c:formatCode>
                <c:ptCount val="2"/>
                <c:pt idx="0">
                  <c:v>4.95</c:v>
                </c:pt>
                <c:pt idx="1">
                  <c:v>1</c:v>
                </c:pt>
              </c:numCache>
            </c:numRef>
          </c:val>
          <c:extLst>
            <c:ext xmlns:c16="http://schemas.microsoft.com/office/drawing/2014/chart" uri="{C3380CC4-5D6E-409C-BE32-E72D297353CC}">
              <c16:uniqueId val="{00000004-CD2A-4608-802E-9BA8AB2D0222}"/>
            </c:ext>
          </c:extLst>
        </c:ser>
        <c:ser>
          <c:idx val="5"/>
          <c:order val="5"/>
          <c:tx>
            <c:strRef>
              <c:f>Sheet2!$G$3</c:f>
              <c:strCache>
                <c:ptCount val="1"/>
                <c:pt idx="0">
                  <c:v>Sum of Conversation Rate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Sheet2!$A$4:$A$6</c:f>
              <c:strCache>
                <c:ptCount val="2"/>
                <c:pt idx="0">
                  <c:v>2024</c:v>
                </c:pt>
                <c:pt idx="1">
                  <c:v>2025</c:v>
                </c:pt>
              </c:strCache>
            </c:strRef>
          </c:cat>
          <c:val>
            <c:numRef>
              <c:f>Sheet2!$G$4:$G$6</c:f>
              <c:numCache>
                <c:formatCode>0.0%</c:formatCode>
                <c:ptCount val="2"/>
                <c:pt idx="0">
                  <c:v>2.5653846153846152E-2</c:v>
                </c:pt>
                <c:pt idx="1">
                  <c:v>8.0000000000000002E-3</c:v>
                </c:pt>
              </c:numCache>
            </c:numRef>
          </c:val>
          <c:extLst>
            <c:ext xmlns:c16="http://schemas.microsoft.com/office/drawing/2014/chart" uri="{C3380CC4-5D6E-409C-BE32-E72D297353CC}">
              <c16:uniqueId val="{00000005-CD2A-4608-802E-9BA8AB2D0222}"/>
            </c:ext>
          </c:extLst>
        </c:ser>
        <c:dLbls>
          <c:showLegendKey val="0"/>
          <c:showVal val="0"/>
          <c:showCatName val="0"/>
          <c:showSerName val="0"/>
          <c:showPercent val="0"/>
          <c:showBubbleSize val="0"/>
        </c:dLbls>
        <c:gapWidth val="100"/>
        <c:overlap val="-24"/>
        <c:axId val="633727343"/>
        <c:axId val="633734063"/>
      </c:barChart>
      <c:catAx>
        <c:axId val="63372734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Date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3734063"/>
        <c:crosses val="autoZero"/>
        <c:auto val="1"/>
        <c:lblAlgn val="ctr"/>
        <c:lblOffset val="100"/>
        <c:noMultiLvlLbl val="0"/>
      </c:catAx>
      <c:valAx>
        <c:axId val="63373406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Total</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372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[Q4.xlsx]Sheet1!PivotTable1</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Sum of Clicks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Sheet1!$A$4:$A$9</c:f>
              <c:strCache>
                <c:ptCount val="5"/>
                <c:pt idx="0">
                  <c:v>Spring Promo</c:v>
                </c:pt>
                <c:pt idx="1">
                  <c:v>Fall Sale</c:v>
                </c:pt>
                <c:pt idx="2">
                  <c:v>Summer Special</c:v>
                </c:pt>
                <c:pt idx="3">
                  <c:v>Winter Blast</c:v>
                </c:pt>
                <c:pt idx="4">
                  <c:v>New Year Deal</c:v>
                </c:pt>
              </c:strCache>
            </c:strRef>
          </c:cat>
          <c:val>
            <c:numRef>
              <c:f>Sheet1!$B$4:$B$9</c:f>
              <c:numCache>
                <c:formatCode>General</c:formatCode>
                <c:ptCount val="5"/>
                <c:pt idx="0">
                  <c:v>150</c:v>
                </c:pt>
                <c:pt idx="1">
                  <c:v>200</c:v>
                </c:pt>
                <c:pt idx="2">
                  <c:v>250</c:v>
                </c:pt>
                <c:pt idx="3">
                  <c:v>300</c:v>
                </c:pt>
                <c:pt idx="4">
                  <c:v>400</c:v>
                </c:pt>
              </c:numCache>
            </c:numRef>
          </c:val>
          <c:extLst>
            <c:ext xmlns:c16="http://schemas.microsoft.com/office/drawing/2014/chart" uri="{C3380CC4-5D6E-409C-BE32-E72D297353CC}">
              <c16:uniqueId val="{00000000-68F9-4F8E-BDCC-B1C6DAFB70D5}"/>
            </c:ext>
          </c:extLst>
        </c:ser>
        <c:ser>
          <c:idx val="1"/>
          <c:order val="1"/>
          <c:tx>
            <c:strRef>
              <c:f>Sheet1!$C$3</c:f>
              <c:strCache>
                <c:ptCount val="1"/>
                <c:pt idx="0">
                  <c:v>Sum of Impressions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Sheet1!$A$4:$A$9</c:f>
              <c:strCache>
                <c:ptCount val="5"/>
                <c:pt idx="0">
                  <c:v>Spring Promo</c:v>
                </c:pt>
                <c:pt idx="1">
                  <c:v>Fall Sale</c:v>
                </c:pt>
                <c:pt idx="2">
                  <c:v>Summer Special</c:v>
                </c:pt>
                <c:pt idx="3">
                  <c:v>Winter Blast</c:v>
                </c:pt>
                <c:pt idx="4">
                  <c:v>New Year Deal</c:v>
                </c:pt>
              </c:strCache>
            </c:strRef>
          </c:cat>
          <c:val>
            <c:numRef>
              <c:f>Sheet1!$C$4:$C$9</c:f>
              <c:numCache>
                <c:formatCode>"R"#,##0</c:formatCode>
                <c:ptCount val="5"/>
                <c:pt idx="0">
                  <c:v>5000</c:v>
                </c:pt>
                <c:pt idx="1">
                  <c:v>6500</c:v>
                </c:pt>
                <c:pt idx="2">
                  <c:v>7500</c:v>
                </c:pt>
                <c:pt idx="3">
                  <c:v>8000</c:v>
                </c:pt>
                <c:pt idx="4">
                  <c:v>10000</c:v>
                </c:pt>
              </c:numCache>
            </c:numRef>
          </c:val>
          <c:extLst>
            <c:ext xmlns:c16="http://schemas.microsoft.com/office/drawing/2014/chart" uri="{C3380CC4-5D6E-409C-BE32-E72D297353CC}">
              <c16:uniqueId val="{00000001-68F9-4F8E-BDCC-B1C6DAFB70D5}"/>
            </c:ext>
          </c:extLst>
        </c:ser>
        <c:ser>
          <c:idx val="2"/>
          <c:order val="2"/>
          <c:tx>
            <c:strRef>
              <c:f>Sheet1!$D$3</c:f>
              <c:strCache>
                <c:ptCount val="1"/>
                <c:pt idx="0">
                  <c:v>Sum of Cost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Sheet1!$A$4:$A$9</c:f>
              <c:strCache>
                <c:ptCount val="5"/>
                <c:pt idx="0">
                  <c:v>Spring Promo</c:v>
                </c:pt>
                <c:pt idx="1">
                  <c:v>Fall Sale</c:v>
                </c:pt>
                <c:pt idx="2">
                  <c:v>Summer Special</c:v>
                </c:pt>
                <c:pt idx="3">
                  <c:v>Winter Blast</c:v>
                </c:pt>
                <c:pt idx="4">
                  <c:v>New Year Deal</c:v>
                </c:pt>
              </c:strCache>
            </c:strRef>
          </c:cat>
          <c:val>
            <c:numRef>
              <c:f>Sheet1!$D$4:$D$9</c:f>
              <c:numCache>
                <c:formatCode>"R"#,##0</c:formatCode>
                <c:ptCount val="5"/>
                <c:pt idx="0">
                  <c:v>200</c:v>
                </c:pt>
                <c:pt idx="1">
                  <c:v>250</c:v>
                </c:pt>
                <c:pt idx="2">
                  <c:v>300</c:v>
                </c:pt>
                <c:pt idx="3">
                  <c:v>350</c:v>
                </c:pt>
                <c:pt idx="4">
                  <c:v>400</c:v>
                </c:pt>
              </c:numCache>
            </c:numRef>
          </c:val>
          <c:extLst>
            <c:ext xmlns:c16="http://schemas.microsoft.com/office/drawing/2014/chart" uri="{C3380CC4-5D6E-409C-BE32-E72D297353CC}">
              <c16:uniqueId val="{00000002-68F9-4F8E-BDCC-B1C6DAFB70D5}"/>
            </c:ext>
          </c:extLst>
        </c:ser>
        <c:ser>
          <c:idx val="3"/>
          <c:order val="3"/>
          <c:tx>
            <c:strRef>
              <c:f>Sheet1!$E$3</c:f>
              <c:strCache>
                <c:ptCount val="1"/>
                <c:pt idx="0">
                  <c:v>Sum of Conversions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Sheet1!$A$4:$A$9</c:f>
              <c:strCache>
                <c:ptCount val="5"/>
                <c:pt idx="0">
                  <c:v>Spring Promo</c:v>
                </c:pt>
                <c:pt idx="1">
                  <c:v>Fall Sale</c:v>
                </c:pt>
                <c:pt idx="2">
                  <c:v>Summer Special</c:v>
                </c:pt>
                <c:pt idx="3">
                  <c:v>Winter Blast</c:v>
                </c:pt>
                <c:pt idx="4">
                  <c:v>New Year Deal</c:v>
                </c:pt>
              </c:strCache>
            </c:strRef>
          </c:cat>
          <c:val>
            <c:numRef>
              <c:f>Sheet1!$E$4:$E$9</c:f>
              <c:numCache>
                <c:formatCode>General</c:formatCode>
                <c:ptCount val="5"/>
                <c:pt idx="0">
                  <c:v>30</c:v>
                </c:pt>
                <c:pt idx="1">
                  <c:v>40</c:v>
                </c:pt>
                <c:pt idx="2">
                  <c:v>45</c:v>
                </c:pt>
                <c:pt idx="3">
                  <c:v>60</c:v>
                </c:pt>
                <c:pt idx="4">
                  <c:v>80</c:v>
                </c:pt>
              </c:numCache>
            </c:numRef>
          </c:val>
          <c:extLst>
            <c:ext xmlns:c16="http://schemas.microsoft.com/office/drawing/2014/chart" uri="{C3380CC4-5D6E-409C-BE32-E72D297353CC}">
              <c16:uniqueId val="{00000003-68F9-4F8E-BDCC-B1C6DAFB70D5}"/>
            </c:ext>
          </c:extLst>
        </c:ser>
        <c:ser>
          <c:idx val="4"/>
          <c:order val="4"/>
          <c:tx>
            <c:strRef>
              <c:f>Sheet1!$F$3</c:f>
              <c:strCache>
                <c:ptCount val="1"/>
                <c:pt idx="0">
                  <c:v>Sum of Cost per click</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Sheet1!$A$4:$A$9</c:f>
              <c:strCache>
                <c:ptCount val="5"/>
                <c:pt idx="0">
                  <c:v>Spring Promo</c:v>
                </c:pt>
                <c:pt idx="1">
                  <c:v>Fall Sale</c:v>
                </c:pt>
                <c:pt idx="2">
                  <c:v>Summer Special</c:v>
                </c:pt>
                <c:pt idx="3">
                  <c:v>Winter Blast</c:v>
                </c:pt>
                <c:pt idx="4">
                  <c:v>New Year Deal</c:v>
                </c:pt>
              </c:strCache>
            </c:strRef>
          </c:cat>
          <c:val>
            <c:numRef>
              <c:f>Sheet1!$F$4:$F$9</c:f>
              <c:numCache>
                <c:formatCode>"R"#,##0.00</c:formatCode>
                <c:ptCount val="5"/>
                <c:pt idx="0">
                  <c:v>1.3333333333333333</c:v>
                </c:pt>
                <c:pt idx="1">
                  <c:v>1.25</c:v>
                </c:pt>
                <c:pt idx="2">
                  <c:v>1.2</c:v>
                </c:pt>
                <c:pt idx="3">
                  <c:v>1.1666666666666667</c:v>
                </c:pt>
                <c:pt idx="4">
                  <c:v>1</c:v>
                </c:pt>
              </c:numCache>
            </c:numRef>
          </c:val>
          <c:extLst>
            <c:ext xmlns:c16="http://schemas.microsoft.com/office/drawing/2014/chart" uri="{C3380CC4-5D6E-409C-BE32-E72D297353CC}">
              <c16:uniqueId val="{00000004-68F9-4F8E-BDCC-B1C6DAFB70D5}"/>
            </c:ext>
          </c:extLst>
        </c:ser>
        <c:ser>
          <c:idx val="5"/>
          <c:order val="5"/>
          <c:tx>
            <c:strRef>
              <c:f>Sheet1!$G$3</c:f>
              <c:strCache>
                <c:ptCount val="1"/>
                <c:pt idx="0">
                  <c:v>Sum of Conversation Rate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Sheet1!$A$4:$A$9</c:f>
              <c:strCache>
                <c:ptCount val="5"/>
                <c:pt idx="0">
                  <c:v>Spring Promo</c:v>
                </c:pt>
                <c:pt idx="1">
                  <c:v>Fall Sale</c:v>
                </c:pt>
                <c:pt idx="2">
                  <c:v>Summer Special</c:v>
                </c:pt>
                <c:pt idx="3">
                  <c:v>Winter Blast</c:v>
                </c:pt>
                <c:pt idx="4">
                  <c:v>New Year Deal</c:v>
                </c:pt>
              </c:strCache>
            </c:strRef>
          </c:cat>
          <c:val>
            <c:numRef>
              <c:f>Sheet1!$G$4:$G$9</c:f>
              <c:numCache>
                <c:formatCode>0.0%</c:formatCode>
                <c:ptCount val="5"/>
                <c:pt idx="0">
                  <c:v>6.0000000000000001E-3</c:v>
                </c:pt>
                <c:pt idx="1">
                  <c:v>6.1538461538461538E-3</c:v>
                </c:pt>
                <c:pt idx="2">
                  <c:v>6.0000000000000001E-3</c:v>
                </c:pt>
                <c:pt idx="3">
                  <c:v>7.4999999999999997E-3</c:v>
                </c:pt>
                <c:pt idx="4">
                  <c:v>8.0000000000000002E-3</c:v>
                </c:pt>
              </c:numCache>
            </c:numRef>
          </c:val>
          <c:extLst>
            <c:ext xmlns:c16="http://schemas.microsoft.com/office/drawing/2014/chart" uri="{C3380CC4-5D6E-409C-BE32-E72D297353CC}">
              <c16:uniqueId val="{00000005-68F9-4F8E-BDCC-B1C6DAFB70D5}"/>
            </c:ext>
          </c:extLst>
        </c:ser>
        <c:dLbls>
          <c:showLegendKey val="0"/>
          <c:showVal val="0"/>
          <c:showCatName val="0"/>
          <c:showSerName val="0"/>
          <c:showPercent val="0"/>
          <c:showBubbleSize val="0"/>
        </c:dLbls>
        <c:gapWidth val="150"/>
        <c:shape val="box"/>
        <c:axId val="1805143023"/>
        <c:axId val="1805143503"/>
        <c:axId val="0"/>
      </c:bar3DChart>
      <c:catAx>
        <c:axId val="180514302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Campaign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5143503"/>
        <c:crosses val="autoZero"/>
        <c:auto val="1"/>
        <c:lblAlgn val="ctr"/>
        <c:lblOffset val="100"/>
        <c:noMultiLvlLbl val="0"/>
      </c:catAx>
      <c:valAx>
        <c:axId val="1805143503"/>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Total</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514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[Q4.xlsx]Sheet3!PivotTable3</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Cost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Sheet3!$A$4:$A$9</c:f>
              <c:strCache>
                <c:ptCount val="5"/>
                <c:pt idx="0">
                  <c:v>Spring Promo</c:v>
                </c:pt>
                <c:pt idx="1">
                  <c:v>Fall Sale</c:v>
                </c:pt>
                <c:pt idx="2">
                  <c:v>Summer Special</c:v>
                </c:pt>
                <c:pt idx="3">
                  <c:v>Winter Blast</c:v>
                </c:pt>
                <c:pt idx="4">
                  <c:v>New Year Deal</c:v>
                </c:pt>
              </c:strCache>
            </c:strRef>
          </c:cat>
          <c:val>
            <c:numRef>
              <c:f>Sheet3!$B$4:$B$9</c:f>
              <c:numCache>
                <c:formatCode>"R"#,##0</c:formatCode>
                <c:ptCount val="5"/>
                <c:pt idx="0">
                  <c:v>200</c:v>
                </c:pt>
                <c:pt idx="1">
                  <c:v>250</c:v>
                </c:pt>
                <c:pt idx="2">
                  <c:v>300</c:v>
                </c:pt>
                <c:pt idx="3">
                  <c:v>350</c:v>
                </c:pt>
                <c:pt idx="4">
                  <c:v>400</c:v>
                </c:pt>
              </c:numCache>
            </c:numRef>
          </c:val>
          <c:extLst>
            <c:ext xmlns:c16="http://schemas.microsoft.com/office/drawing/2014/chart" uri="{C3380CC4-5D6E-409C-BE32-E72D297353CC}">
              <c16:uniqueId val="{00000000-25F1-49B8-BDF5-C58F6A5D2612}"/>
            </c:ext>
          </c:extLst>
        </c:ser>
        <c:ser>
          <c:idx val="1"/>
          <c:order val="1"/>
          <c:tx>
            <c:strRef>
              <c:f>Sheet3!$C$3</c:f>
              <c:strCache>
                <c:ptCount val="1"/>
                <c:pt idx="0">
                  <c:v>Sum of Clicks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Sheet3!$A$4:$A$9</c:f>
              <c:strCache>
                <c:ptCount val="5"/>
                <c:pt idx="0">
                  <c:v>Spring Promo</c:v>
                </c:pt>
                <c:pt idx="1">
                  <c:v>Fall Sale</c:v>
                </c:pt>
                <c:pt idx="2">
                  <c:v>Summer Special</c:v>
                </c:pt>
                <c:pt idx="3">
                  <c:v>Winter Blast</c:v>
                </c:pt>
                <c:pt idx="4">
                  <c:v>New Year Deal</c:v>
                </c:pt>
              </c:strCache>
            </c:strRef>
          </c:cat>
          <c:val>
            <c:numRef>
              <c:f>Sheet3!$C$4:$C$9</c:f>
              <c:numCache>
                <c:formatCode>General</c:formatCode>
                <c:ptCount val="5"/>
                <c:pt idx="0">
                  <c:v>150</c:v>
                </c:pt>
                <c:pt idx="1">
                  <c:v>200</c:v>
                </c:pt>
                <c:pt idx="2">
                  <c:v>250</c:v>
                </c:pt>
                <c:pt idx="3">
                  <c:v>300</c:v>
                </c:pt>
                <c:pt idx="4">
                  <c:v>400</c:v>
                </c:pt>
              </c:numCache>
            </c:numRef>
          </c:val>
          <c:extLst>
            <c:ext xmlns:c16="http://schemas.microsoft.com/office/drawing/2014/chart" uri="{C3380CC4-5D6E-409C-BE32-E72D297353CC}">
              <c16:uniqueId val="{00000001-25F1-49B8-BDF5-C58F6A5D2612}"/>
            </c:ext>
          </c:extLst>
        </c:ser>
        <c:dLbls>
          <c:showLegendKey val="0"/>
          <c:showVal val="0"/>
          <c:showCatName val="0"/>
          <c:showSerName val="0"/>
          <c:showPercent val="0"/>
          <c:showBubbleSize val="0"/>
        </c:dLbls>
        <c:gapWidth val="150"/>
        <c:axId val="2047436159"/>
        <c:axId val="2047442879"/>
      </c:barChart>
      <c:lineChart>
        <c:grouping val="standard"/>
        <c:varyColors val="0"/>
        <c:ser>
          <c:idx val="2"/>
          <c:order val="2"/>
          <c:tx>
            <c:strRef>
              <c:f>Sheet3!$D$3</c:f>
              <c:strCache>
                <c:ptCount val="1"/>
                <c:pt idx="0">
                  <c:v>Sum of Cost per Conversation</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Sheet3!$A$4:$A$9</c:f>
              <c:strCache>
                <c:ptCount val="5"/>
                <c:pt idx="0">
                  <c:v>Spring Promo</c:v>
                </c:pt>
                <c:pt idx="1">
                  <c:v>Fall Sale</c:v>
                </c:pt>
                <c:pt idx="2">
                  <c:v>Summer Special</c:v>
                </c:pt>
                <c:pt idx="3">
                  <c:v>Winter Blast</c:v>
                </c:pt>
                <c:pt idx="4">
                  <c:v>New Year Deal</c:v>
                </c:pt>
              </c:strCache>
            </c:strRef>
          </c:cat>
          <c:val>
            <c:numRef>
              <c:f>Sheet3!$D$4:$D$9</c:f>
              <c:numCache>
                <c:formatCode>0%</c:formatCode>
                <c:ptCount val="5"/>
                <c:pt idx="0">
                  <c:v>0.2</c:v>
                </c:pt>
                <c:pt idx="1">
                  <c:v>0.2</c:v>
                </c:pt>
                <c:pt idx="2">
                  <c:v>0.18</c:v>
                </c:pt>
                <c:pt idx="3">
                  <c:v>0.2</c:v>
                </c:pt>
                <c:pt idx="4">
                  <c:v>0.2</c:v>
                </c:pt>
              </c:numCache>
            </c:numRef>
          </c:val>
          <c:smooth val="0"/>
          <c:extLst>
            <c:ext xmlns:c16="http://schemas.microsoft.com/office/drawing/2014/chart" uri="{C3380CC4-5D6E-409C-BE32-E72D297353CC}">
              <c16:uniqueId val="{00000002-25F1-49B8-BDF5-C58F6A5D2612}"/>
            </c:ext>
          </c:extLst>
        </c:ser>
        <c:dLbls>
          <c:showLegendKey val="0"/>
          <c:showVal val="0"/>
          <c:showCatName val="0"/>
          <c:showSerName val="0"/>
          <c:showPercent val="0"/>
          <c:showBubbleSize val="0"/>
        </c:dLbls>
        <c:marker val="1"/>
        <c:smooth val="0"/>
        <c:axId val="2047436159"/>
        <c:axId val="2047442879"/>
      </c:lineChart>
      <c:catAx>
        <c:axId val="204743615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Campaign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7442879"/>
        <c:crosses val="autoZero"/>
        <c:auto val="1"/>
        <c:lblAlgn val="ctr"/>
        <c:lblOffset val="100"/>
        <c:noMultiLvlLbl val="0"/>
      </c:catAx>
      <c:valAx>
        <c:axId val="204744287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Total</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R&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743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[Q4.xlsx]Sheet2!PivotTable2</c:name>
    <c:fmtId val="1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Sum of Clicks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Sheet2!$A$4:$A$6</c:f>
              <c:strCache>
                <c:ptCount val="2"/>
                <c:pt idx="0">
                  <c:v>2024</c:v>
                </c:pt>
                <c:pt idx="1">
                  <c:v>2025</c:v>
                </c:pt>
              </c:strCache>
            </c:strRef>
          </c:cat>
          <c:val>
            <c:numRef>
              <c:f>Sheet2!$B$4:$B$6</c:f>
              <c:numCache>
                <c:formatCode>General</c:formatCode>
                <c:ptCount val="2"/>
                <c:pt idx="0">
                  <c:v>900</c:v>
                </c:pt>
                <c:pt idx="1">
                  <c:v>400</c:v>
                </c:pt>
              </c:numCache>
            </c:numRef>
          </c:val>
          <c:smooth val="0"/>
          <c:extLst>
            <c:ext xmlns:c16="http://schemas.microsoft.com/office/drawing/2014/chart" uri="{C3380CC4-5D6E-409C-BE32-E72D297353CC}">
              <c16:uniqueId val="{00000000-A1FB-4B0E-BA9C-08966913F091}"/>
            </c:ext>
          </c:extLst>
        </c:ser>
        <c:ser>
          <c:idx val="1"/>
          <c:order val="1"/>
          <c:tx>
            <c:strRef>
              <c:f>Sheet2!$C$3</c:f>
              <c:strCache>
                <c:ptCount val="1"/>
                <c:pt idx="0">
                  <c:v>Sum of Cost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Sheet2!$A$4:$A$6</c:f>
              <c:strCache>
                <c:ptCount val="2"/>
                <c:pt idx="0">
                  <c:v>2024</c:v>
                </c:pt>
                <c:pt idx="1">
                  <c:v>2025</c:v>
                </c:pt>
              </c:strCache>
            </c:strRef>
          </c:cat>
          <c:val>
            <c:numRef>
              <c:f>Sheet2!$C$4:$C$6</c:f>
              <c:numCache>
                <c:formatCode>"R"#,##0</c:formatCode>
                <c:ptCount val="2"/>
                <c:pt idx="0">
                  <c:v>1100</c:v>
                </c:pt>
                <c:pt idx="1">
                  <c:v>400</c:v>
                </c:pt>
              </c:numCache>
            </c:numRef>
          </c:val>
          <c:smooth val="0"/>
          <c:extLst>
            <c:ext xmlns:c16="http://schemas.microsoft.com/office/drawing/2014/chart" uri="{C3380CC4-5D6E-409C-BE32-E72D297353CC}">
              <c16:uniqueId val="{00000001-A1FB-4B0E-BA9C-08966913F091}"/>
            </c:ext>
          </c:extLst>
        </c:ser>
        <c:ser>
          <c:idx val="2"/>
          <c:order val="2"/>
          <c:tx>
            <c:strRef>
              <c:f>Sheet2!$D$3</c:f>
              <c:strCache>
                <c:ptCount val="1"/>
                <c:pt idx="0">
                  <c:v>Sum of Conversions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Sheet2!$A$4:$A$6</c:f>
              <c:strCache>
                <c:ptCount val="2"/>
                <c:pt idx="0">
                  <c:v>2024</c:v>
                </c:pt>
                <c:pt idx="1">
                  <c:v>2025</c:v>
                </c:pt>
              </c:strCache>
            </c:strRef>
          </c:cat>
          <c:val>
            <c:numRef>
              <c:f>Sheet2!$D$4:$D$6</c:f>
              <c:numCache>
                <c:formatCode>General</c:formatCode>
                <c:ptCount val="2"/>
                <c:pt idx="0">
                  <c:v>175</c:v>
                </c:pt>
                <c:pt idx="1">
                  <c:v>80</c:v>
                </c:pt>
              </c:numCache>
            </c:numRef>
          </c:val>
          <c:smooth val="0"/>
          <c:extLst>
            <c:ext xmlns:c16="http://schemas.microsoft.com/office/drawing/2014/chart" uri="{C3380CC4-5D6E-409C-BE32-E72D297353CC}">
              <c16:uniqueId val="{00000002-A1FB-4B0E-BA9C-08966913F091}"/>
            </c:ext>
          </c:extLst>
        </c:ser>
        <c:ser>
          <c:idx val="3"/>
          <c:order val="3"/>
          <c:tx>
            <c:strRef>
              <c:f>Sheet2!$E$3</c:f>
              <c:strCache>
                <c:ptCount val="1"/>
                <c:pt idx="0">
                  <c:v>Sum of Impressions</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Sheet2!$A$4:$A$6</c:f>
              <c:strCache>
                <c:ptCount val="2"/>
                <c:pt idx="0">
                  <c:v>2024</c:v>
                </c:pt>
                <c:pt idx="1">
                  <c:v>2025</c:v>
                </c:pt>
              </c:strCache>
            </c:strRef>
          </c:cat>
          <c:val>
            <c:numRef>
              <c:f>Sheet2!$E$4:$E$6</c:f>
              <c:numCache>
                <c:formatCode>General</c:formatCode>
                <c:ptCount val="2"/>
                <c:pt idx="0">
                  <c:v>27000</c:v>
                </c:pt>
                <c:pt idx="1">
                  <c:v>10000</c:v>
                </c:pt>
              </c:numCache>
            </c:numRef>
          </c:val>
          <c:smooth val="0"/>
          <c:extLst>
            <c:ext xmlns:c16="http://schemas.microsoft.com/office/drawing/2014/chart" uri="{C3380CC4-5D6E-409C-BE32-E72D297353CC}">
              <c16:uniqueId val="{00000003-A1FB-4B0E-BA9C-08966913F091}"/>
            </c:ext>
          </c:extLst>
        </c:ser>
        <c:ser>
          <c:idx val="4"/>
          <c:order val="4"/>
          <c:tx>
            <c:strRef>
              <c:f>Sheet2!$F$3</c:f>
              <c:strCache>
                <c:ptCount val="1"/>
                <c:pt idx="0">
                  <c:v>Sum of Cost per click</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Sheet2!$A$4:$A$6</c:f>
              <c:strCache>
                <c:ptCount val="2"/>
                <c:pt idx="0">
                  <c:v>2024</c:v>
                </c:pt>
                <c:pt idx="1">
                  <c:v>2025</c:v>
                </c:pt>
              </c:strCache>
            </c:strRef>
          </c:cat>
          <c:val>
            <c:numRef>
              <c:f>Sheet2!$F$4:$F$6</c:f>
              <c:numCache>
                <c:formatCode>"R"#,##0.00</c:formatCode>
                <c:ptCount val="2"/>
                <c:pt idx="0">
                  <c:v>4.95</c:v>
                </c:pt>
                <c:pt idx="1">
                  <c:v>1</c:v>
                </c:pt>
              </c:numCache>
            </c:numRef>
          </c:val>
          <c:smooth val="0"/>
          <c:extLst>
            <c:ext xmlns:c16="http://schemas.microsoft.com/office/drawing/2014/chart" uri="{C3380CC4-5D6E-409C-BE32-E72D297353CC}">
              <c16:uniqueId val="{00000004-A1FB-4B0E-BA9C-08966913F091}"/>
            </c:ext>
          </c:extLst>
        </c:ser>
        <c:ser>
          <c:idx val="5"/>
          <c:order val="5"/>
          <c:tx>
            <c:strRef>
              <c:f>Sheet2!$G$3</c:f>
              <c:strCache>
                <c:ptCount val="1"/>
                <c:pt idx="0">
                  <c:v>Sum of Conversation Rate</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Sheet2!$A$4:$A$6</c:f>
              <c:strCache>
                <c:ptCount val="2"/>
                <c:pt idx="0">
                  <c:v>2024</c:v>
                </c:pt>
                <c:pt idx="1">
                  <c:v>2025</c:v>
                </c:pt>
              </c:strCache>
            </c:strRef>
          </c:cat>
          <c:val>
            <c:numRef>
              <c:f>Sheet2!$G$4:$G$6</c:f>
              <c:numCache>
                <c:formatCode>0.0%</c:formatCode>
                <c:ptCount val="2"/>
                <c:pt idx="0">
                  <c:v>2.5653846153846152E-2</c:v>
                </c:pt>
                <c:pt idx="1">
                  <c:v>8.0000000000000002E-3</c:v>
                </c:pt>
              </c:numCache>
            </c:numRef>
          </c:val>
          <c:smooth val="0"/>
          <c:extLst>
            <c:ext xmlns:c16="http://schemas.microsoft.com/office/drawing/2014/chart" uri="{C3380CC4-5D6E-409C-BE32-E72D297353CC}">
              <c16:uniqueId val="{00000005-A1FB-4B0E-BA9C-08966913F091}"/>
            </c:ext>
          </c:extLst>
        </c:ser>
        <c:dLbls>
          <c:showLegendKey val="0"/>
          <c:showVal val="0"/>
          <c:showCatName val="0"/>
          <c:showSerName val="0"/>
          <c:showPercent val="0"/>
          <c:showBubbleSize val="0"/>
        </c:dLbls>
        <c:marker val="1"/>
        <c:smooth val="0"/>
        <c:axId val="1805089263"/>
        <c:axId val="1805106063"/>
      </c:lineChart>
      <c:catAx>
        <c:axId val="180508926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5106063"/>
        <c:crosses val="autoZero"/>
        <c:auto val="1"/>
        <c:lblAlgn val="ctr"/>
        <c:lblOffset val="100"/>
        <c:noMultiLvlLbl val="0"/>
      </c:catAx>
      <c:valAx>
        <c:axId val="18051060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5089263"/>
        <c:crosses val="autoZero"/>
        <c:crossBetween val="between"/>
      </c:valAx>
      <c:spPr>
        <a:noFill/>
        <a:ln>
          <a:noFill/>
        </a:ln>
        <a:effectLst/>
      </c:spPr>
    </c:plotArea>
    <c:legend>
      <c:legendPos val="r"/>
      <c:layout>
        <c:manualLayout>
          <c:xMode val="edge"/>
          <c:yMode val="edge"/>
          <c:x val="0.71248225119401054"/>
          <c:y val="0.1875401624166147"/>
          <c:w val="0.24565864771649015"/>
          <c:h val="0.745117715993575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emf"/><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285750</xdr:colOff>
      <xdr:row>12</xdr:row>
      <xdr:rowOff>104775</xdr:rowOff>
    </xdr:from>
    <xdr:to>
      <xdr:col>6</xdr:col>
      <xdr:colOff>28575</xdr:colOff>
      <xdr:row>32</xdr:row>
      <xdr:rowOff>123825</xdr:rowOff>
    </xdr:to>
    <xdr:graphicFrame macro="">
      <xdr:nvGraphicFramePr>
        <xdr:cNvPr id="2" name="Chart 1">
          <a:extLst>
            <a:ext uri="{FF2B5EF4-FFF2-40B4-BE49-F238E27FC236}">
              <a16:creationId xmlns:a16="http://schemas.microsoft.com/office/drawing/2014/main" id="{85F63A8A-492B-5CA6-7A68-6D2A10DD3A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996315</xdr:colOff>
      <xdr:row>13</xdr:row>
      <xdr:rowOff>171450</xdr:rowOff>
    </xdr:from>
    <xdr:to>
      <xdr:col>5</xdr:col>
      <xdr:colOff>1202055</xdr:colOff>
      <xdr:row>19</xdr:row>
      <xdr:rowOff>20954</xdr:rowOff>
    </xdr:to>
    <mc:AlternateContent xmlns:mc="http://schemas.openxmlformats.org/markup-compatibility/2006">
      <mc:Choice xmlns:a14="http://schemas.microsoft.com/office/drawing/2010/main" Requires="a14">
        <xdr:graphicFrame macro="">
          <xdr:nvGraphicFramePr>
            <xdr:cNvPr id="4" name="Years (Date)">
              <a:extLst>
                <a:ext uri="{FF2B5EF4-FFF2-40B4-BE49-F238E27FC236}">
                  <a16:creationId xmlns:a16="http://schemas.microsoft.com/office/drawing/2014/main" id="{9DB1FBA4-981E-6A6C-0A0A-DC5609580911}"/>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4722495" y="2567940"/>
              <a:ext cx="1438275" cy="93535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793432</xdr:colOff>
      <xdr:row>10</xdr:row>
      <xdr:rowOff>94297</xdr:rowOff>
    </xdr:from>
    <xdr:to>
      <xdr:col>11</xdr:col>
      <xdr:colOff>397192</xdr:colOff>
      <xdr:row>25</xdr:row>
      <xdr:rowOff>113347</xdr:rowOff>
    </xdr:to>
    <xdr:graphicFrame macro="">
      <xdr:nvGraphicFramePr>
        <xdr:cNvPr id="5" name="Chart 4">
          <a:extLst>
            <a:ext uri="{FF2B5EF4-FFF2-40B4-BE49-F238E27FC236}">
              <a16:creationId xmlns:a16="http://schemas.microsoft.com/office/drawing/2014/main" id="{131522E8-C871-DE1C-4FBC-0380F7A62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295275</xdr:colOff>
      <xdr:row>11</xdr:row>
      <xdr:rowOff>160972</xdr:rowOff>
    </xdr:from>
    <xdr:to>
      <xdr:col>10</xdr:col>
      <xdr:colOff>102869</xdr:colOff>
      <xdr:row>37</xdr:row>
      <xdr:rowOff>152400</xdr:rowOff>
    </xdr:to>
    <xdr:graphicFrame macro="">
      <xdr:nvGraphicFramePr>
        <xdr:cNvPr id="3" name="Chart 2">
          <a:extLst>
            <a:ext uri="{FF2B5EF4-FFF2-40B4-BE49-F238E27FC236}">
              <a16:creationId xmlns:a16="http://schemas.microsoft.com/office/drawing/2014/main" id="{CDC34EAA-6B85-60EB-642D-91E41F2712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188595</xdr:colOff>
      <xdr:row>11</xdr:row>
      <xdr:rowOff>160020</xdr:rowOff>
    </xdr:from>
    <xdr:to>
      <xdr:col>13</xdr:col>
      <xdr:colOff>173355</xdr:colOff>
      <xdr:row>25</xdr:row>
      <xdr:rowOff>95250</xdr:rowOff>
    </xdr:to>
    <mc:AlternateContent xmlns:mc="http://schemas.openxmlformats.org/markup-compatibility/2006">
      <mc:Choice xmlns:a14="http://schemas.microsoft.com/office/drawing/2010/main" Requires="a14">
        <xdr:graphicFrame macro="">
          <xdr:nvGraphicFramePr>
            <xdr:cNvPr id="4" name="Clicks">
              <a:extLst>
                <a:ext uri="{FF2B5EF4-FFF2-40B4-BE49-F238E27FC236}">
                  <a16:creationId xmlns:a16="http://schemas.microsoft.com/office/drawing/2014/main" id="{C73AAD0E-1E40-CA8A-6543-30066F97F583}"/>
                </a:ext>
              </a:extLst>
            </xdr:cNvPr>
            <xdr:cNvGraphicFramePr/>
          </xdr:nvGraphicFramePr>
          <xdr:xfrm>
            <a:off x="0" y="0"/>
            <a:ext cx="0" cy="0"/>
          </xdr:xfrm>
          <a:graphic>
            <a:graphicData uri="http://schemas.microsoft.com/office/drawing/2010/slicer">
              <sle:slicer xmlns:sle="http://schemas.microsoft.com/office/drawing/2010/slicer" name="Clicks"/>
            </a:graphicData>
          </a:graphic>
        </xdr:graphicFrame>
      </mc:Choice>
      <mc:Fallback>
        <xdr:sp macro="" textlink="">
          <xdr:nvSpPr>
            <xdr:cNvPr id="0" name=""/>
            <xdr:cNvSpPr>
              <a:spLocks noTextEdit="1"/>
            </xdr:cNvSpPr>
          </xdr:nvSpPr>
          <xdr:spPr>
            <a:xfrm>
              <a:off x="10027920" y="2152650"/>
              <a:ext cx="1809750" cy="246316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177165</xdr:colOff>
      <xdr:row>21</xdr:row>
      <xdr:rowOff>11430</xdr:rowOff>
    </xdr:from>
    <xdr:to>
      <xdr:col>13</xdr:col>
      <xdr:colOff>190500</xdr:colOff>
      <xdr:row>34</xdr:row>
      <xdr:rowOff>129540</xdr:rowOff>
    </xdr:to>
    <mc:AlternateContent xmlns:mc="http://schemas.openxmlformats.org/markup-compatibility/2006">
      <mc:Choice xmlns:a14="http://schemas.microsoft.com/office/drawing/2010/main" Requires="a14">
        <xdr:graphicFrame macro="">
          <xdr:nvGraphicFramePr>
            <xdr:cNvPr id="5" name="Impressions">
              <a:extLst>
                <a:ext uri="{FF2B5EF4-FFF2-40B4-BE49-F238E27FC236}">
                  <a16:creationId xmlns:a16="http://schemas.microsoft.com/office/drawing/2014/main" id="{6AF07583-0D30-D6A4-BC5A-8B64E978BD60}"/>
                </a:ext>
              </a:extLst>
            </xdr:cNvPr>
            <xdr:cNvGraphicFramePr/>
          </xdr:nvGraphicFramePr>
          <xdr:xfrm>
            <a:off x="0" y="0"/>
            <a:ext cx="0" cy="0"/>
          </xdr:xfrm>
          <a:graphic>
            <a:graphicData uri="http://schemas.microsoft.com/office/drawing/2010/slicer">
              <sle:slicer xmlns:sle="http://schemas.microsoft.com/office/drawing/2010/slicer" name="Impressions"/>
            </a:graphicData>
          </a:graphic>
        </xdr:graphicFrame>
      </mc:Choice>
      <mc:Fallback>
        <xdr:sp macro="" textlink="">
          <xdr:nvSpPr>
            <xdr:cNvPr id="0" name=""/>
            <xdr:cNvSpPr>
              <a:spLocks noTextEdit="1"/>
            </xdr:cNvSpPr>
          </xdr:nvSpPr>
          <xdr:spPr>
            <a:xfrm>
              <a:off x="10012680" y="3815715"/>
              <a:ext cx="1845945" cy="247078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182880</xdr:colOff>
      <xdr:row>29</xdr:row>
      <xdr:rowOff>161925</xdr:rowOff>
    </xdr:from>
    <xdr:to>
      <xdr:col>13</xdr:col>
      <xdr:colOff>169545</xdr:colOff>
      <xdr:row>43</xdr:row>
      <xdr:rowOff>95250</xdr:rowOff>
    </xdr:to>
    <mc:AlternateContent xmlns:mc="http://schemas.openxmlformats.org/markup-compatibility/2006">
      <mc:Choice xmlns:a14="http://schemas.microsoft.com/office/drawing/2010/main" Requires="a14">
        <xdr:graphicFrame macro="">
          <xdr:nvGraphicFramePr>
            <xdr:cNvPr id="6" name="Conversions">
              <a:extLst>
                <a:ext uri="{FF2B5EF4-FFF2-40B4-BE49-F238E27FC236}">
                  <a16:creationId xmlns:a16="http://schemas.microsoft.com/office/drawing/2014/main" id="{99767820-2563-F9B1-7232-E661BC6931F9}"/>
                </a:ext>
              </a:extLst>
            </xdr:cNvPr>
            <xdr:cNvGraphicFramePr/>
          </xdr:nvGraphicFramePr>
          <xdr:xfrm>
            <a:off x="0" y="0"/>
            <a:ext cx="0" cy="0"/>
          </xdr:xfrm>
          <a:graphic>
            <a:graphicData uri="http://schemas.microsoft.com/office/drawing/2010/slicer">
              <sle:slicer xmlns:sle="http://schemas.microsoft.com/office/drawing/2010/slicer" name="Conversions"/>
            </a:graphicData>
          </a:graphic>
        </xdr:graphicFrame>
      </mc:Choice>
      <mc:Fallback>
        <xdr:sp macro="" textlink="">
          <xdr:nvSpPr>
            <xdr:cNvPr id="0" name=""/>
            <xdr:cNvSpPr>
              <a:spLocks noTextEdit="1"/>
            </xdr:cNvSpPr>
          </xdr:nvSpPr>
          <xdr:spPr>
            <a:xfrm>
              <a:off x="10020300" y="5412105"/>
              <a:ext cx="1821180" cy="246126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18097</xdr:colOff>
      <xdr:row>11</xdr:row>
      <xdr:rowOff>159067</xdr:rowOff>
    </xdr:from>
    <xdr:to>
      <xdr:col>12</xdr:col>
      <xdr:colOff>542925</xdr:colOff>
      <xdr:row>32</xdr:row>
      <xdr:rowOff>76200</xdr:rowOff>
    </xdr:to>
    <xdr:graphicFrame macro="">
      <xdr:nvGraphicFramePr>
        <xdr:cNvPr id="2" name="Chart 1">
          <a:extLst>
            <a:ext uri="{FF2B5EF4-FFF2-40B4-BE49-F238E27FC236}">
              <a16:creationId xmlns:a16="http://schemas.microsoft.com/office/drawing/2014/main" id="{10C7C1F0-ADBC-14AE-B891-E4D7B401B2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95250</xdr:colOff>
      <xdr:row>0</xdr:row>
      <xdr:rowOff>95250</xdr:rowOff>
    </xdr:from>
    <xdr:to>
      <xdr:col>20</xdr:col>
      <xdr:colOff>390525</xdr:colOff>
      <xdr:row>55</xdr:row>
      <xdr:rowOff>152400</xdr:rowOff>
    </xdr:to>
    <xdr:sp macro="" textlink="">
      <xdr:nvSpPr>
        <xdr:cNvPr id="2" name="Rectangle 1">
          <a:extLst>
            <a:ext uri="{FF2B5EF4-FFF2-40B4-BE49-F238E27FC236}">
              <a16:creationId xmlns:a16="http://schemas.microsoft.com/office/drawing/2014/main" id="{DBBC482B-E08A-B977-8934-857DE1CA9128}"/>
            </a:ext>
          </a:extLst>
        </xdr:cNvPr>
        <xdr:cNvSpPr/>
      </xdr:nvSpPr>
      <xdr:spPr>
        <a:xfrm>
          <a:off x="95250" y="95250"/>
          <a:ext cx="12487275" cy="10010775"/>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ZA" sz="1100"/>
        </a:p>
      </xdr:txBody>
    </xdr:sp>
    <xdr:clientData/>
  </xdr:twoCellAnchor>
  <xdr:twoCellAnchor>
    <xdr:from>
      <xdr:col>3</xdr:col>
      <xdr:colOff>133350</xdr:colOff>
      <xdr:row>1</xdr:row>
      <xdr:rowOff>0</xdr:rowOff>
    </xdr:from>
    <xdr:to>
      <xdr:col>15</xdr:col>
      <xdr:colOff>304800</xdr:colOff>
      <xdr:row>4</xdr:row>
      <xdr:rowOff>62865</xdr:rowOff>
    </xdr:to>
    <xdr:sp macro="" textlink="">
      <xdr:nvSpPr>
        <xdr:cNvPr id="3" name="Rectangle 2">
          <a:extLst>
            <a:ext uri="{FF2B5EF4-FFF2-40B4-BE49-F238E27FC236}">
              <a16:creationId xmlns:a16="http://schemas.microsoft.com/office/drawing/2014/main" id="{9A88FF2E-1602-9B4A-C531-5786A2B26AE8}"/>
            </a:ext>
          </a:extLst>
        </xdr:cNvPr>
        <xdr:cNvSpPr/>
      </xdr:nvSpPr>
      <xdr:spPr>
        <a:xfrm>
          <a:off x="1962150" y="180975"/>
          <a:ext cx="7486650" cy="605790"/>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ZA" sz="2400" b="1" cap="none" spc="50">
              <a:ln w="0"/>
              <a:solidFill>
                <a:schemeClr val="bg2"/>
              </a:solidFill>
              <a:effectLst>
                <a:innerShdw blurRad="63500" dist="50800" dir="13500000">
                  <a:srgbClr val="000000">
                    <a:alpha val="50000"/>
                  </a:srgbClr>
                </a:innerShdw>
              </a:effectLst>
              <a:latin typeface="Arial Narrow" panose="020B0606020202030204" pitchFamily="34" charset="0"/>
            </a:rPr>
            <a:t>Performance Overview</a:t>
          </a:r>
        </a:p>
      </xdr:txBody>
    </xdr:sp>
    <xdr:clientData/>
  </xdr:twoCellAnchor>
  <xdr:twoCellAnchor>
    <xdr:from>
      <xdr:col>0</xdr:col>
      <xdr:colOff>142875</xdr:colOff>
      <xdr:row>7</xdr:row>
      <xdr:rowOff>26670</xdr:rowOff>
    </xdr:from>
    <xdr:to>
      <xdr:col>9</xdr:col>
      <xdr:colOff>104775</xdr:colOff>
      <xdr:row>25</xdr:row>
      <xdr:rowOff>76200</xdr:rowOff>
    </xdr:to>
    <xdr:graphicFrame macro="">
      <xdr:nvGraphicFramePr>
        <xdr:cNvPr id="6" name="Chart 5">
          <a:extLst>
            <a:ext uri="{FF2B5EF4-FFF2-40B4-BE49-F238E27FC236}">
              <a16:creationId xmlns:a16="http://schemas.microsoft.com/office/drawing/2014/main" id="{80EFD5B3-ED87-40A0-B145-4EB265D65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180974</xdr:colOff>
      <xdr:row>28</xdr:row>
      <xdr:rowOff>78105</xdr:rowOff>
    </xdr:from>
    <xdr:to>
      <xdr:col>19</xdr:col>
      <xdr:colOff>550544</xdr:colOff>
      <xdr:row>47</xdr:row>
      <xdr:rowOff>57149</xdr:rowOff>
    </xdr:to>
    <xdr:graphicFrame macro="">
      <xdr:nvGraphicFramePr>
        <xdr:cNvPr id="7" name="Chart 6">
          <a:extLst>
            <a:ext uri="{FF2B5EF4-FFF2-40B4-BE49-F238E27FC236}">
              <a16:creationId xmlns:a16="http://schemas.microsoft.com/office/drawing/2014/main" id="{D0B5B8B2-B927-42B7-AD9F-E254DE37E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441959</xdr:colOff>
      <xdr:row>7</xdr:row>
      <xdr:rowOff>19048</xdr:rowOff>
    </xdr:from>
    <xdr:to>
      <xdr:col>19</xdr:col>
      <xdr:colOff>552450</xdr:colOff>
      <xdr:row>12</xdr:row>
      <xdr:rowOff>20955</xdr:rowOff>
    </xdr:to>
    <mc:AlternateContent xmlns:mc="http://schemas.openxmlformats.org/markup-compatibility/2006">
      <mc:Choice xmlns:a14="http://schemas.microsoft.com/office/drawing/2010/main" Requires="a14">
        <xdr:graphicFrame macro="">
          <xdr:nvGraphicFramePr>
            <xdr:cNvPr id="8" name="Years (Date) 1">
              <a:extLst>
                <a:ext uri="{FF2B5EF4-FFF2-40B4-BE49-F238E27FC236}">
                  <a16:creationId xmlns:a16="http://schemas.microsoft.com/office/drawing/2014/main" id="{DEB04EA3-820F-FFC4-2C1A-7F195496D9E3}"/>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dr:sp macro="" textlink="">
          <xdr:nvSpPr>
            <xdr:cNvPr id="0" name=""/>
            <xdr:cNvSpPr>
              <a:spLocks noTextEdit="1"/>
            </xdr:cNvSpPr>
          </xdr:nvSpPr>
          <xdr:spPr>
            <a:xfrm>
              <a:off x="10801349" y="1289683"/>
              <a:ext cx="1329691" cy="89916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131444</xdr:colOff>
      <xdr:row>28</xdr:row>
      <xdr:rowOff>72391</xdr:rowOff>
    </xdr:from>
    <xdr:to>
      <xdr:col>9</xdr:col>
      <xdr:colOff>66674</xdr:colOff>
      <xdr:row>47</xdr:row>
      <xdr:rowOff>45720</xdr:rowOff>
    </xdr:to>
    <xdr:graphicFrame macro="">
      <xdr:nvGraphicFramePr>
        <xdr:cNvPr id="10" name="Chart 9">
          <a:extLst>
            <a:ext uri="{FF2B5EF4-FFF2-40B4-BE49-F238E27FC236}">
              <a16:creationId xmlns:a16="http://schemas.microsoft.com/office/drawing/2014/main" id="{7CC4C041-7130-41BB-901D-C04A17BC2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85725</xdr:colOff>
      <xdr:row>28</xdr:row>
      <xdr:rowOff>78105</xdr:rowOff>
    </xdr:from>
    <xdr:to>
      <xdr:col>12</xdr:col>
      <xdr:colOff>76200</xdr:colOff>
      <xdr:row>38</xdr:row>
      <xdr:rowOff>0</xdr:rowOff>
    </xdr:to>
    <mc:AlternateContent xmlns:mc="http://schemas.openxmlformats.org/markup-compatibility/2006">
      <mc:Choice xmlns:a14="http://schemas.microsoft.com/office/drawing/2010/main" Requires="a14">
        <xdr:graphicFrame macro="">
          <xdr:nvGraphicFramePr>
            <xdr:cNvPr id="12" name="Campaign Name">
              <a:extLst>
                <a:ext uri="{FF2B5EF4-FFF2-40B4-BE49-F238E27FC236}">
                  <a16:creationId xmlns:a16="http://schemas.microsoft.com/office/drawing/2014/main" id="{CBB60D05-8C1E-B930-3D12-DB22FB07511F}"/>
                </a:ext>
              </a:extLst>
            </xdr:cNvPr>
            <xdr:cNvGraphicFramePr/>
          </xdr:nvGraphicFramePr>
          <xdr:xfrm>
            <a:off x="0" y="0"/>
            <a:ext cx="0" cy="0"/>
          </xdr:xfrm>
          <a:graphic>
            <a:graphicData uri="http://schemas.microsoft.com/office/drawing/2010/slicer">
              <sle:slicer xmlns:sle="http://schemas.microsoft.com/office/drawing/2010/slicer" name="Campaign Name"/>
            </a:graphicData>
          </a:graphic>
        </xdr:graphicFrame>
      </mc:Choice>
      <mc:Fallback>
        <xdr:sp macro="" textlink="">
          <xdr:nvSpPr>
            <xdr:cNvPr id="0" name=""/>
            <xdr:cNvSpPr>
              <a:spLocks noTextEdit="1"/>
            </xdr:cNvSpPr>
          </xdr:nvSpPr>
          <xdr:spPr>
            <a:xfrm>
              <a:off x="5574030" y="5145405"/>
              <a:ext cx="1817370" cy="173164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95250</xdr:colOff>
      <xdr:row>37</xdr:row>
      <xdr:rowOff>106679</xdr:rowOff>
    </xdr:from>
    <xdr:to>
      <xdr:col>12</xdr:col>
      <xdr:colOff>76200</xdr:colOff>
      <xdr:row>47</xdr:row>
      <xdr:rowOff>51434</xdr:rowOff>
    </xdr:to>
    <mc:AlternateContent xmlns:mc="http://schemas.openxmlformats.org/markup-compatibility/2006">
      <mc:Choice xmlns:a14="http://schemas.microsoft.com/office/drawing/2010/main" Requires="a14">
        <xdr:graphicFrame macro="">
          <xdr:nvGraphicFramePr>
            <xdr:cNvPr id="13" name="Cost">
              <a:extLst>
                <a:ext uri="{FF2B5EF4-FFF2-40B4-BE49-F238E27FC236}">
                  <a16:creationId xmlns:a16="http://schemas.microsoft.com/office/drawing/2014/main" id="{6AC55AB9-C537-9F43-F017-FDF0499ABC00}"/>
                </a:ext>
              </a:extLst>
            </xdr:cNvPr>
            <xdr:cNvGraphicFramePr/>
          </xdr:nvGraphicFramePr>
          <xdr:xfrm>
            <a:off x="0" y="0"/>
            <a:ext cx="0" cy="0"/>
          </xdr:xfrm>
          <a:graphic>
            <a:graphicData uri="http://schemas.microsoft.com/office/drawing/2010/slicer">
              <sle:slicer xmlns:sle="http://schemas.microsoft.com/office/drawing/2010/slicer" name="Cost"/>
            </a:graphicData>
          </a:graphic>
        </xdr:graphicFrame>
      </mc:Choice>
      <mc:Fallback>
        <xdr:sp macro="" textlink="">
          <xdr:nvSpPr>
            <xdr:cNvPr id="0" name=""/>
            <xdr:cNvSpPr>
              <a:spLocks noTextEdit="1"/>
            </xdr:cNvSpPr>
          </xdr:nvSpPr>
          <xdr:spPr>
            <a:xfrm>
              <a:off x="5577840" y="6800849"/>
              <a:ext cx="1813560" cy="176022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194309</xdr:colOff>
      <xdr:row>7</xdr:row>
      <xdr:rowOff>19050</xdr:rowOff>
    </xdr:from>
    <xdr:to>
      <xdr:col>17</xdr:col>
      <xdr:colOff>360045</xdr:colOff>
      <xdr:row>25</xdr:row>
      <xdr:rowOff>76198</xdr:rowOff>
    </xdr:to>
    <xdr:graphicFrame macro="">
      <xdr:nvGraphicFramePr>
        <xdr:cNvPr id="18" name="Chart 17">
          <a:extLst>
            <a:ext uri="{FF2B5EF4-FFF2-40B4-BE49-F238E27FC236}">
              <a16:creationId xmlns:a16="http://schemas.microsoft.com/office/drawing/2014/main" id="{96ED95FA-2F4B-47C3-921E-BC0559EB6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203834</xdr:colOff>
      <xdr:row>5</xdr:row>
      <xdr:rowOff>9526</xdr:rowOff>
    </xdr:from>
    <xdr:to>
      <xdr:col>12</xdr:col>
      <xdr:colOff>17144</xdr:colOff>
      <xdr:row>6</xdr:row>
      <xdr:rowOff>142875</xdr:rowOff>
    </xdr:to>
    <xdr:sp macro="" textlink="">
      <xdr:nvSpPr>
        <xdr:cNvPr id="20" name="Rectangle 19">
          <a:extLst>
            <a:ext uri="{FF2B5EF4-FFF2-40B4-BE49-F238E27FC236}">
              <a16:creationId xmlns:a16="http://schemas.microsoft.com/office/drawing/2014/main" id="{9AB4F0A8-D40A-2A02-51AF-EE0854A45DD8}"/>
            </a:ext>
          </a:extLst>
        </xdr:cNvPr>
        <xdr:cNvSpPr/>
      </xdr:nvSpPr>
      <xdr:spPr>
        <a:xfrm>
          <a:off x="3861434" y="914401"/>
          <a:ext cx="3470910" cy="31432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ZA" sz="1600" b="1" i="0" u="sng" baseline="0">
              <a:solidFill>
                <a:sysClr val="windowText" lastClr="000000"/>
              </a:solidFill>
              <a:effectLst/>
              <a:latin typeface="+mn-lt"/>
              <a:ea typeface="+mn-ea"/>
              <a:cs typeface="+mn-cs"/>
            </a:rPr>
            <a:t>Performance Over Time</a:t>
          </a:r>
          <a:endParaRPr lang="en-ZA" sz="1600">
            <a:solidFill>
              <a:sysClr val="windowText" lastClr="000000"/>
            </a:solidFill>
            <a:effectLst/>
          </a:endParaRPr>
        </a:p>
        <a:p>
          <a:pPr algn="ctr"/>
          <a:endParaRPr lang="en-ZA" sz="1100">
            <a:solidFill>
              <a:sysClr val="windowText" lastClr="000000"/>
            </a:solidFill>
          </a:endParaRPr>
        </a:p>
      </xdr:txBody>
    </xdr:sp>
    <xdr:clientData/>
  </xdr:twoCellAnchor>
  <xdr:twoCellAnchor>
    <xdr:from>
      <xdr:col>1</xdr:col>
      <xdr:colOff>459105</xdr:colOff>
      <xdr:row>26</xdr:row>
      <xdr:rowOff>36195</xdr:rowOff>
    </xdr:from>
    <xdr:to>
      <xdr:col>7</xdr:col>
      <xdr:colOff>59055</xdr:colOff>
      <xdr:row>28</xdr:row>
      <xdr:rowOff>36195</xdr:rowOff>
    </xdr:to>
    <xdr:sp macro="" textlink="">
      <xdr:nvSpPr>
        <xdr:cNvPr id="21" name="Rectangle 20">
          <a:extLst>
            <a:ext uri="{FF2B5EF4-FFF2-40B4-BE49-F238E27FC236}">
              <a16:creationId xmlns:a16="http://schemas.microsoft.com/office/drawing/2014/main" id="{9813611C-38EF-7D47-E079-83149839A53E}"/>
            </a:ext>
          </a:extLst>
        </xdr:cNvPr>
        <xdr:cNvSpPr/>
      </xdr:nvSpPr>
      <xdr:spPr>
        <a:xfrm>
          <a:off x="1068705" y="4741545"/>
          <a:ext cx="3257550" cy="3619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ZA" sz="1600" b="1" u="sng">
              <a:solidFill>
                <a:schemeClr val="tx1"/>
              </a:solidFill>
            </a:rPr>
            <a:t>Cost Efficiency</a:t>
          </a:r>
          <a:r>
            <a:rPr lang="en-ZA" sz="1600" b="1" u="sng" baseline="0">
              <a:solidFill>
                <a:schemeClr val="tx1"/>
              </a:solidFill>
            </a:rPr>
            <a:t> </a:t>
          </a:r>
          <a:endParaRPr lang="en-ZA" sz="1600" b="1" u="sng">
            <a:solidFill>
              <a:schemeClr val="tx1"/>
            </a:solidFill>
          </a:endParaRPr>
        </a:p>
      </xdr:txBody>
    </xdr:sp>
    <xdr:clientData/>
  </xdr:twoCellAnchor>
  <xdr:twoCellAnchor>
    <xdr:from>
      <xdr:col>13</xdr:col>
      <xdr:colOff>91440</xdr:colOff>
      <xdr:row>26</xdr:row>
      <xdr:rowOff>5716</xdr:rowOff>
    </xdr:from>
    <xdr:to>
      <xdr:col>18</xdr:col>
      <xdr:colOff>491490</xdr:colOff>
      <xdr:row>28</xdr:row>
      <xdr:rowOff>36196</xdr:rowOff>
    </xdr:to>
    <xdr:sp macro="" textlink="">
      <xdr:nvSpPr>
        <xdr:cNvPr id="23" name="Rectangle 22">
          <a:extLst>
            <a:ext uri="{FF2B5EF4-FFF2-40B4-BE49-F238E27FC236}">
              <a16:creationId xmlns:a16="http://schemas.microsoft.com/office/drawing/2014/main" id="{C04611BC-C1C5-27B9-13C2-15E1554202F3}"/>
            </a:ext>
          </a:extLst>
        </xdr:cNvPr>
        <xdr:cNvSpPr/>
      </xdr:nvSpPr>
      <xdr:spPr>
        <a:xfrm>
          <a:off x="8016240" y="4711066"/>
          <a:ext cx="3448050" cy="39243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ZA" sz="1600" b="1" i="0" u="sng" baseline="0">
              <a:solidFill>
                <a:sysClr val="windowText" lastClr="000000"/>
              </a:solidFill>
              <a:effectLst/>
              <a:latin typeface="+mn-lt"/>
              <a:ea typeface="+mn-ea"/>
              <a:cs typeface="+mn-cs"/>
            </a:rPr>
            <a:t>Performace by Campaign</a:t>
          </a:r>
          <a:endParaRPr lang="en-ZA" sz="1600" b="1">
            <a:solidFill>
              <a:sysClr val="windowText" lastClr="000000"/>
            </a:solidFill>
            <a:effectLst/>
          </a:endParaRPr>
        </a:p>
        <a:p>
          <a:pPr algn="l"/>
          <a:endParaRPr lang="en-ZA" sz="1100"/>
        </a:p>
      </xdr:txBody>
    </xdr:sp>
    <xdr:clientData/>
  </xdr:twoCellAnchor>
  <xdr:twoCellAnchor editAs="oneCell">
    <xdr:from>
      <xdr:col>17</xdr:col>
      <xdr:colOff>434340</xdr:colOff>
      <xdr:row>13</xdr:row>
      <xdr:rowOff>74296</xdr:rowOff>
    </xdr:from>
    <xdr:to>
      <xdr:col>19</xdr:col>
      <xdr:colOff>571500</xdr:colOff>
      <xdr:row>25</xdr:row>
      <xdr:rowOff>68581</xdr:rowOff>
    </xdr:to>
    <mc:AlternateContent xmlns:mc="http://schemas.openxmlformats.org/markup-compatibility/2006">
      <mc:Choice xmlns:a14="http://schemas.microsoft.com/office/drawing/2010/main" Requires="a14">
        <xdr:graphicFrame macro="">
          <xdr:nvGraphicFramePr>
            <xdr:cNvPr id="27" name="Campaign Name 1">
              <a:extLst>
                <a:ext uri="{FF2B5EF4-FFF2-40B4-BE49-F238E27FC236}">
                  <a16:creationId xmlns:a16="http://schemas.microsoft.com/office/drawing/2014/main" id="{237A9536-5B0A-2F11-9566-59E767CF4BC1}"/>
                </a:ext>
              </a:extLst>
            </xdr:cNvPr>
            <xdr:cNvGraphicFramePr/>
          </xdr:nvGraphicFramePr>
          <xdr:xfrm>
            <a:off x="0" y="0"/>
            <a:ext cx="0" cy="0"/>
          </xdr:xfrm>
          <a:graphic>
            <a:graphicData uri="http://schemas.microsoft.com/office/drawing/2010/slicer">
              <sle:slicer xmlns:sle="http://schemas.microsoft.com/office/drawing/2010/slicer" name="Campaign Name 1"/>
            </a:graphicData>
          </a:graphic>
        </xdr:graphicFrame>
      </mc:Choice>
      <mc:Fallback>
        <xdr:sp macro="" textlink="">
          <xdr:nvSpPr>
            <xdr:cNvPr id="0" name=""/>
            <xdr:cNvSpPr>
              <a:spLocks noTextEdit="1"/>
            </xdr:cNvSpPr>
          </xdr:nvSpPr>
          <xdr:spPr>
            <a:xfrm>
              <a:off x="10801350" y="2426971"/>
              <a:ext cx="1352550" cy="216408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247650</xdr:colOff>
      <xdr:row>29</xdr:row>
      <xdr:rowOff>1905</xdr:rowOff>
    </xdr:from>
    <xdr:to>
      <xdr:col>19</xdr:col>
      <xdr:colOff>495300</xdr:colOff>
      <xdr:row>33</xdr:row>
      <xdr:rowOff>180974</xdr:rowOff>
    </xdr:to>
    <mc:AlternateContent xmlns:mc="http://schemas.openxmlformats.org/markup-compatibility/2006">
      <mc:Choice xmlns:a14="http://schemas.microsoft.com/office/drawing/2010/main" Requires="a14">
        <xdr:graphicFrame macro="">
          <xdr:nvGraphicFramePr>
            <xdr:cNvPr id="28" name="Years (Date) 2">
              <a:extLst>
                <a:ext uri="{FF2B5EF4-FFF2-40B4-BE49-F238E27FC236}">
                  <a16:creationId xmlns:a16="http://schemas.microsoft.com/office/drawing/2014/main" id="{0DC44E59-CFE6-83A3-9E7B-F69624607806}"/>
                </a:ext>
              </a:extLst>
            </xdr:cNvPr>
            <xdr:cNvGraphicFramePr/>
          </xdr:nvGraphicFramePr>
          <xdr:xfrm>
            <a:off x="0" y="0"/>
            <a:ext cx="0" cy="0"/>
          </xdr:xfrm>
          <a:graphic>
            <a:graphicData uri="http://schemas.microsoft.com/office/drawing/2010/slicer">
              <sle:slicer xmlns:sle="http://schemas.microsoft.com/office/drawing/2010/slicer" name="Years (Date) 2"/>
            </a:graphicData>
          </a:graphic>
        </xdr:graphicFrame>
      </mc:Choice>
      <mc:Fallback>
        <xdr:sp macro="" textlink="">
          <xdr:nvSpPr>
            <xdr:cNvPr id="0" name=""/>
            <xdr:cNvSpPr>
              <a:spLocks noTextEdit="1"/>
            </xdr:cNvSpPr>
          </xdr:nvSpPr>
          <xdr:spPr>
            <a:xfrm>
              <a:off x="10607040" y="5250180"/>
              <a:ext cx="1470660" cy="90106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47</xdr:row>
      <xdr:rowOff>129540</xdr:rowOff>
    </xdr:from>
    <xdr:to>
      <xdr:col>9</xdr:col>
      <xdr:colOff>57150</xdr:colOff>
      <xdr:row>54</xdr:row>
      <xdr:rowOff>140970</xdr:rowOff>
    </xdr:to>
    <xdr:pic>
      <xdr:nvPicPr>
        <xdr:cNvPr id="29" name="Picture 28">
          <a:extLst>
            <a:ext uri="{FF2B5EF4-FFF2-40B4-BE49-F238E27FC236}">
              <a16:creationId xmlns:a16="http://schemas.microsoft.com/office/drawing/2014/main" id="{9B6E3A99-37F5-28B6-9A36-876A59005C7E}"/>
            </a:ext>
          </a:extLst>
        </xdr:cNvPr>
        <xdr:cNvPicPr>
          <a:picLocks noChangeAspect="1" noChangeArrowheads="1"/>
        </xdr:cNvPicPr>
      </xdr:nvPicPr>
      <xdr:blipFill>
        <a:blip xmlns:r="http://schemas.openxmlformats.org/officeDocument/2006/relationships" r:embed="rId5">
          <a:duotone>
            <a:prstClr val="black"/>
            <a:schemeClr val="accent1">
              <a:tint val="45000"/>
              <a:satMod val="400000"/>
            </a:schemeClr>
          </a:duotone>
          <a:extLst>
            <a:ext uri="{28A0092B-C50C-407E-A947-70E740481C1C}">
              <a14:useLocalDpi xmlns:a14="http://schemas.microsoft.com/office/drawing/2010/main" val="0"/>
            </a:ext>
          </a:extLst>
        </a:blip>
        <a:srcRect/>
        <a:stretch>
          <a:fillRect/>
        </a:stretch>
      </xdr:blipFill>
      <xdr:spPr bwMode="auto">
        <a:xfrm>
          <a:off x="129540" y="8635365"/>
          <a:ext cx="5414010" cy="1278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ay Wesso" refreshedDate="45880.676533449077" createdVersion="8" refreshedVersion="8" minRefreshableVersion="3" recordCount="14" xr:uid="{ACB65C61-7826-4E79-90B1-80E05B02DADF}">
  <cacheSource type="worksheet">
    <worksheetSource ref="A1:J1048576" sheet="Marketing_campaign_analysis_dat"/>
  </cacheSource>
  <cacheFields count="13">
    <cacheField name="Campaign Name" numFmtId="0">
      <sharedItems containsBlank="1" count="7">
        <s v="Spring Promo"/>
        <s v="Summer Special"/>
        <s v="Fall Sale"/>
        <s v="Winter Blast"/>
        <s v="New Year Deal"/>
        <s v="Total"/>
        <m/>
      </sharedItems>
    </cacheField>
    <cacheField name="Date" numFmtId="0">
      <sharedItems containsNonDate="0" containsDate="1" containsString="0" containsBlank="1" minDate="2024-03-01T00:00:00" maxDate="2025-01-02T00:00:00" count="6">
        <d v="2024-03-01T00:00:00"/>
        <d v="2024-06-15T00:00:00"/>
        <d v="2024-09-10T00:00:00"/>
        <d v="2024-12-05T00:00:00"/>
        <d v="2025-01-01T00:00:00"/>
        <m/>
      </sharedItems>
      <fieldGroup par="12"/>
    </cacheField>
    <cacheField name="Clicks" numFmtId="0">
      <sharedItems containsString="0" containsBlank="1" containsNumber="1" containsInteger="1" minValue="150" maxValue="1300"/>
    </cacheField>
    <cacheField name="Impressions" numFmtId="0">
      <sharedItems containsString="0" containsBlank="1" containsNumber="1" containsInteger="1" minValue="5000" maxValue="37000"/>
    </cacheField>
    <cacheField name="Cost" numFmtId="0">
      <sharedItems containsString="0" containsBlank="1" containsNumber="1" containsInteger="1" minValue="200" maxValue="1500"/>
    </cacheField>
    <cacheField name="Conversions" numFmtId="0">
      <sharedItems containsString="0" containsBlank="1" containsNumber="1" containsInteger="1" minValue="30" maxValue="255"/>
    </cacheField>
    <cacheField name="Click rate " numFmtId="0">
      <sharedItems containsString="0" containsBlank="1" containsNumber="1" minValue="0.03" maxValue="0.17160256410256411"/>
    </cacheField>
    <cacheField name="Cost per click" numFmtId="0">
      <sharedItems containsString="0" containsBlank="1" containsNumber="1" minValue="1" maxValue="5.95"/>
    </cacheField>
    <cacheField name="Conversation Rate" numFmtId="0">
      <sharedItems containsString="0" containsBlank="1" containsNumber="1" minValue="6.0000000000000001E-3" maxValue="3.3653846153846152E-2"/>
    </cacheField>
    <cacheField name="Cost per Conversation" numFmtId="0">
      <sharedItems containsString="0" containsBlank="1" containsNumber="1" minValue="0.18" maxValue="0.98"/>
    </cacheField>
    <cacheField name="Months (Date)" numFmtId="0" databaseField="0">
      <fieldGroup base="1">
        <rangePr groupBy="months" startDate="2024-03-01T00:00:00" endDate="2025-01-02T00:00:00"/>
        <groupItems count="14">
          <s v="&lt;2024/03/01"/>
          <s v="Jan"/>
          <s v="Feb"/>
          <s v="Mar"/>
          <s v="Apr"/>
          <s v="May"/>
          <s v="Jun"/>
          <s v="Jul"/>
          <s v="Aug"/>
          <s v="Sept"/>
          <s v="Oct"/>
          <s v="Nov"/>
          <s v="Dec"/>
          <s v="&gt;2025/01/02"/>
        </groupItems>
      </fieldGroup>
    </cacheField>
    <cacheField name="Quarters (Date)" numFmtId="0" databaseField="0">
      <fieldGroup base="1">
        <rangePr groupBy="quarters" startDate="2024-03-01T00:00:00" endDate="2025-01-02T00:00:00"/>
        <groupItems count="6">
          <s v="&lt;2024/03/01"/>
          <s v="Qtr1"/>
          <s v="Qtr2"/>
          <s v="Qtr3"/>
          <s v="Qtr4"/>
          <s v="&gt;2025/01/02"/>
        </groupItems>
      </fieldGroup>
    </cacheField>
    <cacheField name="Years (Date)" numFmtId="0" databaseField="0">
      <fieldGroup base="1">
        <rangePr groupBy="years" startDate="2024-03-01T00:00:00" endDate="2025-01-02T00:00:00"/>
        <groupItems count="4">
          <s v="&lt;2024/03/01"/>
          <s v="2024"/>
          <s v="2025"/>
          <s v="&gt;2025/01/0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ay Wesso" refreshedDate="45883.400756134259" createdVersion="8" refreshedVersion="8" minRefreshableVersion="3" recordCount="5" xr:uid="{0DAD3DAD-71C9-4BC7-8031-E9A812705BA5}">
  <cacheSource type="worksheet">
    <worksheetSource name="marketing_campaign_analysis_data_PM0304"/>
  </cacheSource>
  <cacheFields count="13">
    <cacheField name="Campaign Name" numFmtId="0">
      <sharedItems count="5">
        <s v="Spring Promo"/>
        <s v="Summer Special"/>
        <s v="Fall Sale"/>
        <s v="Winter Blast"/>
        <s v="New Year Deal"/>
      </sharedItems>
    </cacheField>
    <cacheField name="Date" numFmtId="14">
      <sharedItems containsSemiMixedTypes="0" containsNonDate="0" containsDate="1" containsString="0" minDate="2024-03-01T00:00:00" maxDate="2025-01-02T00:00:00" count="5">
        <d v="2024-03-01T00:00:00"/>
        <d v="2024-06-15T00:00:00"/>
        <d v="2024-09-10T00:00:00"/>
        <d v="2024-12-05T00:00:00"/>
        <d v="2025-01-01T00:00:00"/>
      </sharedItems>
      <fieldGroup par="12"/>
    </cacheField>
    <cacheField name="Clicks" numFmtId="0">
      <sharedItems containsSemiMixedTypes="0" containsString="0" containsNumber="1" containsInteger="1" minValue="150" maxValue="400" count="5">
        <n v="150"/>
        <n v="250"/>
        <n v="200"/>
        <n v="300"/>
        <n v="400"/>
      </sharedItems>
    </cacheField>
    <cacheField name="Impressions" numFmtId="0">
      <sharedItems containsSemiMixedTypes="0" containsString="0" containsNumber="1" containsInteger="1" minValue="5000" maxValue="10000" count="5">
        <n v="5000"/>
        <n v="7500"/>
        <n v="6500"/>
        <n v="8000"/>
        <n v="10000"/>
      </sharedItems>
    </cacheField>
    <cacheField name="Cost" numFmtId="166">
      <sharedItems containsSemiMixedTypes="0" containsString="0" containsNumber="1" containsInteger="1" minValue="200" maxValue="400" count="5">
        <n v="200"/>
        <n v="300"/>
        <n v="250"/>
        <n v="350"/>
        <n v="400"/>
      </sharedItems>
    </cacheField>
    <cacheField name="Conversions" numFmtId="0">
      <sharedItems containsSemiMixedTypes="0" containsString="0" containsNumber="1" containsInteger="1" minValue="30" maxValue="80" count="5">
        <n v="30"/>
        <n v="45"/>
        <n v="40"/>
        <n v="60"/>
        <n v="80"/>
      </sharedItems>
    </cacheField>
    <cacheField name="Click rate " numFmtId="164">
      <sharedItems containsSemiMixedTypes="0" containsString="0" containsNumber="1" minValue="0.03" maxValue="0.04"/>
    </cacheField>
    <cacheField name="Cost per click" numFmtId="165">
      <sharedItems containsSemiMixedTypes="0" containsString="0" containsNumber="1" minValue="1" maxValue="1.3333333333333333" count="5">
        <n v="1.3333333333333333"/>
        <n v="1.2"/>
        <n v="1.25"/>
        <n v="1.1666666666666667"/>
        <n v="1"/>
      </sharedItems>
    </cacheField>
    <cacheField name="Conversation Rate" numFmtId="164">
      <sharedItems containsSemiMixedTypes="0" containsString="0" containsNumber="1" minValue="6.0000000000000001E-3" maxValue="8.0000000000000002E-3"/>
    </cacheField>
    <cacheField name="Cost per Conversation" numFmtId="9">
      <sharedItems containsSemiMixedTypes="0" containsString="0" containsNumber="1" minValue="0.18" maxValue="0.2" count="2">
        <n v="0.2"/>
        <n v="0.18"/>
      </sharedItems>
    </cacheField>
    <cacheField name="Months (Date)" numFmtId="0" databaseField="0">
      <fieldGroup base="1">
        <rangePr groupBy="months" startDate="2024-03-01T00:00:00" endDate="2025-01-02T00:00:00"/>
        <groupItems count="14">
          <s v="&lt;2024/03/01"/>
          <s v="Jan"/>
          <s v="Feb"/>
          <s v="Mar"/>
          <s v="Apr"/>
          <s v="May"/>
          <s v="Jun"/>
          <s v="Jul"/>
          <s v="Aug"/>
          <s v="Sept"/>
          <s v="Oct"/>
          <s v="Nov"/>
          <s v="Dec"/>
          <s v="&gt;2025/01/02"/>
        </groupItems>
      </fieldGroup>
    </cacheField>
    <cacheField name="Quarters (Date)" numFmtId="0" databaseField="0">
      <fieldGroup base="1">
        <rangePr groupBy="quarters" startDate="2024-03-01T00:00:00" endDate="2025-01-02T00:00:00"/>
        <groupItems count="6">
          <s v="&lt;2024/03/01"/>
          <s v="Qtr1"/>
          <s v="Qtr2"/>
          <s v="Qtr3"/>
          <s v="Qtr4"/>
          <s v="&gt;2025/01/02"/>
        </groupItems>
      </fieldGroup>
    </cacheField>
    <cacheField name="Years (Date)" numFmtId="0" databaseField="0">
      <fieldGroup base="1">
        <rangePr groupBy="years" startDate="2024-03-01T00:00:00" endDate="2025-01-02T00:00:00"/>
        <groupItems count="4">
          <s v="&lt;2024/03/01"/>
          <s v="2024"/>
          <s v="2025"/>
          <s v="&gt;2025/01/02"/>
        </groupItems>
      </fieldGroup>
    </cacheField>
  </cacheFields>
  <extLst>
    <ext xmlns:x14="http://schemas.microsoft.com/office/spreadsheetml/2009/9/main" uri="{725AE2AE-9491-48be-B2B4-4EB974FC3084}">
      <x14:pivotCacheDefinition pivotCacheId="16950574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x v="0"/>
    <n v="150"/>
    <n v="5000"/>
    <n v="200"/>
    <n v="30"/>
    <n v="0.03"/>
    <n v="1.3333333333333333"/>
    <n v="6.0000000000000001E-3"/>
    <n v="0.2"/>
  </r>
  <r>
    <x v="1"/>
    <x v="1"/>
    <n v="250"/>
    <n v="7500"/>
    <n v="300"/>
    <n v="45"/>
    <n v="3.3333333333333333E-2"/>
    <n v="1.2"/>
    <n v="6.0000000000000001E-3"/>
    <n v="0.18"/>
  </r>
  <r>
    <x v="2"/>
    <x v="2"/>
    <n v="200"/>
    <n v="6500"/>
    <n v="250"/>
    <n v="40"/>
    <n v="3.0769230769230771E-2"/>
    <n v="1.25"/>
    <n v="6.1538461538461538E-3"/>
    <n v="0.2"/>
  </r>
  <r>
    <x v="3"/>
    <x v="3"/>
    <n v="300"/>
    <n v="8000"/>
    <n v="350"/>
    <n v="60"/>
    <n v="3.7499999999999999E-2"/>
    <n v="1.1666666666666667"/>
    <n v="7.4999999999999997E-3"/>
    <n v="0.2"/>
  </r>
  <r>
    <x v="4"/>
    <x v="4"/>
    <n v="400"/>
    <n v="10000"/>
    <n v="400"/>
    <n v="80"/>
    <n v="0.04"/>
    <n v="1"/>
    <n v="8.0000000000000002E-3"/>
    <n v="0.2"/>
  </r>
  <r>
    <x v="5"/>
    <x v="5"/>
    <n v="1300"/>
    <n v="37000"/>
    <n v="1500"/>
    <n v="255"/>
    <n v="0.17160256410256411"/>
    <n v="5.95"/>
    <n v="3.3653846153846152E-2"/>
    <n v="0.98"/>
  </r>
  <r>
    <x v="6"/>
    <x v="5"/>
    <m/>
    <m/>
    <m/>
    <m/>
    <m/>
    <m/>
    <m/>
    <m/>
  </r>
  <r>
    <x v="6"/>
    <x v="5"/>
    <m/>
    <m/>
    <m/>
    <m/>
    <m/>
    <m/>
    <m/>
    <m/>
  </r>
  <r>
    <x v="6"/>
    <x v="5"/>
    <m/>
    <m/>
    <m/>
    <m/>
    <m/>
    <m/>
    <m/>
    <m/>
  </r>
  <r>
    <x v="6"/>
    <x v="5"/>
    <m/>
    <m/>
    <m/>
    <m/>
    <m/>
    <m/>
    <m/>
    <m/>
  </r>
  <r>
    <x v="6"/>
    <x v="5"/>
    <m/>
    <m/>
    <m/>
    <m/>
    <m/>
    <m/>
    <m/>
    <m/>
  </r>
  <r>
    <x v="6"/>
    <x v="5"/>
    <m/>
    <m/>
    <m/>
    <m/>
    <m/>
    <m/>
    <m/>
    <m/>
  </r>
  <r>
    <x v="6"/>
    <x v="5"/>
    <m/>
    <m/>
    <m/>
    <m/>
    <m/>
    <m/>
    <m/>
    <m/>
  </r>
  <r>
    <x v="6"/>
    <x v="5"/>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x v="0"/>
    <x v="0"/>
    <x v="0"/>
    <x v="0"/>
    <n v="0.03"/>
    <x v="0"/>
    <n v="6.0000000000000001E-3"/>
    <x v="0"/>
  </r>
  <r>
    <x v="1"/>
    <x v="1"/>
    <x v="1"/>
    <x v="1"/>
    <x v="1"/>
    <x v="1"/>
    <n v="3.3333333333333333E-2"/>
    <x v="1"/>
    <n v="6.0000000000000001E-3"/>
    <x v="1"/>
  </r>
  <r>
    <x v="2"/>
    <x v="2"/>
    <x v="2"/>
    <x v="2"/>
    <x v="2"/>
    <x v="2"/>
    <n v="3.0769230769230771E-2"/>
    <x v="2"/>
    <n v="6.1538461538461538E-3"/>
    <x v="0"/>
  </r>
  <r>
    <x v="3"/>
    <x v="3"/>
    <x v="3"/>
    <x v="3"/>
    <x v="3"/>
    <x v="3"/>
    <n v="3.7499999999999999E-2"/>
    <x v="3"/>
    <n v="7.4999999999999997E-3"/>
    <x v="0"/>
  </r>
  <r>
    <x v="4"/>
    <x v="4"/>
    <x v="4"/>
    <x v="4"/>
    <x v="4"/>
    <x v="4"/>
    <n v="0.04"/>
    <x v="4"/>
    <n v="8.0000000000000002E-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C476E9-063B-45CF-B2E6-CBB228268CC9}"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G6" firstHeaderRow="0" firstDataRow="1" firstDataCol="1"/>
  <pivotFields count="13">
    <pivotField showAll="0">
      <items count="6">
        <item x="2"/>
        <item x="4"/>
        <item x="0"/>
        <item x="1"/>
        <item x="3"/>
        <item t="default"/>
      </items>
    </pivotField>
    <pivotField axis="axisRow" numFmtId="14" showAll="0">
      <items count="6">
        <item x="0"/>
        <item x="1"/>
        <item x="2"/>
        <item x="3"/>
        <item x="4"/>
        <item t="default"/>
      </items>
    </pivotField>
    <pivotField dataField="1" showAll="0"/>
    <pivotField dataField="1" showAll="0"/>
    <pivotField dataField="1" numFmtId="166" showAll="0">
      <items count="6">
        <item x="0"/>
        <item x="2"/>
        <item x="1"/>
        <item x="3"/>
        <item x="4"/>
        <item t="default"/>
      </items>
    </pivotField>
    <pivotField dataField="1" showAll="0"/>
    <pivotField numFmtId="164" showAll="0"/>
    <pivotField dataField="1" numFmtId="165" showAll="0">
      <items count="6">
        <item h="1" x="4"/>
        <item h="1" x="3"/>
        <item h="1" x="1"/>
        <item x="2"/>
        <item h="1" x="0"/>
        <item t="default"/>
      </items>
    </pivotField>
    <pivotField dataField="1" numFmtId="164" showAll="0"/>
    <pivotField numFmtId="9" showAll="0">
      <items count="3">
        <item h="1" x="1"/>
        <item x="0"/>
        <item t="default"/>
      </items>
    </pivotField>
    <pivotField axis="axisRow" showAll="0">
      <items count="15">
        <item sd="0" x="0"/>
        <item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3">
    <field x="12"/>
    <field x="10"/>
    <field x="1"/>
  </rowFields>
  <rowItems count="3">
    <i>
      <x v="1"/>
    </i>
    <i>
      <x v="2"/>
    </i>
    <i t="grand">
      <x/>
    </i>
  </rowItems>
  <colFields count="1">
    <field x="-2"/>
  </colFields>
  <colItems count="6">
    <i>
      <x/>
    </i>
    <i i="1">
      <x v="1"/>
    </i>
    <i i="2">
      <x v="2"/>
    </i>
    <i i="3">
      <x v="3"/>
    </i>
    <i i="4">
      <x v="4"/>
    </i>
    <i i="5">
      <x v="5"/>
    </i>
  </colItems>
  <dataFields count="6">
    <dataField name="Sum of Clicks" fld="2" baseField="0" baseItem="0"/>
    <dataField name="Sum of Cost" fld="4" baseField="0" baseItem="0" numFmtId="166"/>
    <dataField name="Sum of Conversions" fld="5" baseField="0" baseItem="0"/>
    <dataField name="Sum of Impressions" fld="3" baseField="0" baseItem="0"/>
    <dataField name="Sum of Cost per click" fld="7" baseField="0" baseItem="0" numFmtId="165"/>
    <dataField name="Sum of Conversation Rate" fld="8" baseField="0" baseItem="0" numFmtId="164"/>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 chart="7" format="14" series="1">
      <pivotArea type="data" outline="0" fieldPosition="0">
        <references count="1">
          <reference field="4294967294" count="1" selected="0">
            <x v="2"/>
          </reference>
        </references>
      </pivotArea>
    </chartFormat>
    <chartFormat chart="7" format="15" series="1">
      <pivotArea type="data" outline="0" fieldPosition="0">
        <references count="1">
          <reference field="4294967294" count="1" selected="0">
            <x v="3"/>
          </reference>
        </references>
      </pivotArea>
    </chartFormat>
    <chartFormat chart="7" format="16" series="1">
      <pivotArea type="data" outline="0" fieldPosition="0">
        <references count="1">
          <reference field="4294967294" count="1" selected="0">
            <x v="4"/>
          </reference>
        </references>
      </pivotArea>
    </chartFormat>
    <chartFormat chart="7" format="17" series="1">
      <pivotArea type="data" outline="0" fieldPosition="0">
        <references count="1">
          <reference field="4294967294" count="1" selected="0">
            <x v="5"/>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1" format="3" series="1">
      <pivotArea type="data" outline="0" fieldPosition="0">
        <references count="1">
          <reference field="4294967294" count="1" selected="0">
            <x v="3"/>
          </reference>
        </references>
      </pivotArea>
    </chartFormat>
    <chartFormat chart="11" format="4" series="1">
      <pivotArea type="data" outline="0" fieldPosition="0">
        <references count="1">
          <reference field="4294967294" count="1" selected="0">
            <x v="4"/>
          </reference>
        </references>
      </pivotArea>
    </chartFormat>
    <chartFormat chart="11" format="5" series="1">
      <pivotArea type="data" outline="0" fieldPosition="0">
        <references count="1">
          <reference field="4294967294" count="1" selected="0">
            <x v="5"/>
          </reference>
        </references>
      </pivotArea>
    </chartFormat>
    <chartFormat chart="15" format="12" series="1">
      <pivotArea type="data" outline="0" fieldPosition="0">
        <references count="1">
          <reference field="4294967294" count="1" selected="0">
            <x v="0"/>
          </reference>
        </references>
      </pivotArea>
    </chartFormat>
    <chartFormat chart="15" format="13" series="1">
      <pivotArea type="data" outline="0" fieldPosition="0">
        <references count="1">
          <reference field="4294967294" count="1" selected="0">
            <x v="1"/>
          </reference>
        </references>
      </pivotArea>
    </chartFormat>
    <chartFormat chart="15" format="14" series="1">
      <pivotArea type="data" outline="0" fieldPosition="0">
        <references count="1">
          <reference field="4294967294" count="1" selected="0">
            <x v="2"/>
          </reference>
        </references>
      </pivotArea>
    </chartFormat>
    <chartFormat chart="15" format="15" series="1">
      <pivotArea type="data" outline="0" fieldPosition="0">
        <references count="1">
          <reference field="4294967294" count="1" selected="0">
            <x v="3"/>
          </reference>
        </references>
      </pivotArea>
    </chartFormat>
    <chartFormat chart="15" format="16" series="1">
      <pivotArea type="data" outline="0" fieldPosition="0">
        <references count="1">
          <reference field="4294967294" count="1" selected="0">
            <x v="4"/>
          </reference>
        </references>
      </pivotArea>
    </chartFormat>
    <chartFormat chart="15"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165465-4D20-40FF-92F7-32A8F0B04471}"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G9" firstHeaderRow="0" firstDataRow="1" firstDataCol="1"/>
  <pivotFields count="13">
    <pivotField axis="axisRow" showAll="0" sortType="ascending">
      <items count="6">
        <item x="2"/>
        <item x="4"/>
        <item x="0"/>
        <item x="1"/>
        <item x="3"/>
        <item t="default"/>
      </items>
      <autoSortScope>
        <pivotArea dataOnly="0" outline="0" fieldPosition="0">
          <references count="1">
            <reference field="4294967294" count="1" selected="0">
              <x v="0"/>
            </reference>
          </references>
        </pivotArea>
      </autoSortScope>
    </pivotField>
    <pivotField numFmtId="14" showAll="0">
      <items count="6">
        <item x="0"/>
        <item x="1"/>
        <item x="2"/>
        <item x="3"/>
        <item x="4"/>
        <item t="default"/>
      </items>
    </pivotField>
    <pivotField dataField="1" showAll="0">
      <items count="6">
        <item x="0"/>
        <item x="2"/>
        <item x="1"/>
        <item x="3"/>
        <item x="4"/>
        <item t="default"/>
      </items>
    </pivotField>
    <pivotField dataField="1" showAll="0">
      <items count="6">
        <item x="0"/>
        <item x="2"/>
        <item x="1"/>
        <item x="3"/>
        <item x="4"/>
        <item t="default"/>
      </items>
    </pivotField>
    <pivotField dataField="1" numFmtId="166" showAll="0"/>
    <pivotField dataField="1" showAll="0">
      <items count="6">
        <item x="0"/>
        <item x="2"/>
        <item x="1"/>
        <item x="3"/>
        <item x="4"/>
        <item t="default"/>
      </items>
    </pivotField>
    <pivotField numFmtId="164" showAll="0"/>
    <pivotField dataField="1" numFmtId="165"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v="2"/>
    </i>
    <i>
      <x/>
    </i>
    <i>
      <x v="3"/>
    </i>
    <i>
      <x v="4"/>
    </i>
    <i>
      <x v="1"/>
    </i>
    <i t="grand">
      <x/>
    </i>
  </rowItems>
  <colFields count="1">
    <field x="-2"/>
  </colFields>
  <colItems count="6">
    <i>
      <x/>
    </i>
    <i i="1">
      <x v="1"/>
    </i>
    <i i="2">
      <x v="2"/>
    </i>
    <i i="3">
      <x v="3"/>
    </i>
    <i i="4">
      <x v="4"/>
    </i>
    <i i="5">
      <x v="5"/>
    </i>
  </colItems>
  <dataFields count="6">
    <dataField name="Sum of Clicks" fld="2" baseField="0" baseItem="0"/>
    <dataField name="Sum of Impressions" fld="3" baseField="0" baseItem="0" numFmtId="166"/>
    <dataField name="Sum of Cost" fld="4" baseField="0" baseItem="0" numFmtId="166"/>
    <dataField name="Sum of Conversions" fld="5" baseField="0" baseItem="0"/>
    <dataField name="Sum of Cost per click" fld="7" baseField="0" baseItem="0" numFmtId="165"/>
    <dataField name="Sum of Conversation Rate" fld="8" baseField="0" baseItem="0" numFmtId="164"/>
  </dataFields>
  <formats count="1">
    <format dxfId="10">
      <pivotArea outline="0" collapsedLevelsAreSubtotals="1" fieldPosition="0">
        <references count="1">
          <reference field="4294967294" count="1" selected="0">
            <x v="1"/>
          </reference>
        </references>
      </pivotArea>
    </format>
  </formats>
  <chartFormats count="1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2" format="5" series="1">
      <pivotArea type="data" outline="0" fieldPosition="0">
        <references count="1">
          <reference field="4294967294" count="1" selected="0">
            <x v="5"/>
          </reference>
        </references>
      </pivotArea>
    </chartFormat>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1"/>
          </reference>
        </references>
      </pivotArea>
    </chartFormat>
    <chartFormat chart="5" format="14" series="1">
      <pivotArea type="data" outline="0" fieldPosition="0">
        <references count="1">
          <reference field="4294967294" count="1" selected="0">
            <x v="2"/>
          </reference>
        </references>
      </pivotArea>
    </chartFormat>
    <chartFormat chart="5" format="15" series="1">
      <pivotArea type="data" outline="0" fieldPosition="0">
        <references count="1">
          <reference field="4294967294" count="1" selected="0">
            <x v="3"/>
          </reference>
        </references>
      </pivotArea>
    </chartFormat>
    <chartFormat chart="5" format="16" series="1">
      <pivotArea type="data" outline="0" fieldPosition="0">
        <references count="1">
          <reference field="4294967294" count="1" selected="0">
            <x v="4"/>
          </reference>
        </references>
      </pivotArea>
    </chartFormat>
    <chartFormat chart="5"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6B78D5-12FC-4AA7-AB76-068C97B05B6C}"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9" firstHeaderRow="0" firstDataRow="1" firstDataCol="1"/>
  <pivotFields count="13">
    <pivotField axis="axisRow" showAll="0" sortType="ascending">
      <items count="6">
        <item x="2"/>
        <item x="4"/>
        <item x="0"/>
        <item x="1"/>
        <item x="3"/>
        <item t="default"/>
      </items>
      <autoSortScope>
        <pivotArea dataOnly="0" outline="0" fieldPosition="0">
          <references count="1">
            <reference field="4294967294" count="1" selected="0">
              <x v="0"/>
            </reference>
          </references>
        </pivotArea>
      </autoSortScope>
    </pivotField>
    <pivotField numFmtId="14" showAll="0">
      <items count="6">
        <item x="0"/>
        <item x="1"/>
        <item x="2"/>
        <item x="3"/>
        <item x="4"/>
        <item t="default"/>
      </items>
    </pivotField>
    <pivotField dataField="1" showAll="0"/>
    <pivotField showAll="0"/>
    <pivotField dataField="1" numFmtId="166" showAll="0">
      <items count="6">
        <item x="0"/>
        <item x="2"/>
        <item x="1"/>
        <item x="3"/>
        <item x="4"/>
        <item t="default"/>
      </items>
    </pivotField>
    <pivotField showAll="0"/>
    <pivotField numFmtId="164" showAll="0"/>
    <pivotField numFmtId="165" showAll="0"/>
    <pivotField numFmtId="164" showAll="0"/>
    <pivotField dataField="1" numFmtId="9" showAll="0"/>
    <pivotField showAll="0" defaultSubtotal="0"/>
    <pivotField showAll="0" defaultSubtotal="0"/>
    <pivotField showAll="0" defaultSubtotal="0">
      <items count="4">
        <item x="0"/>
        <item x="1"/>
        <item x="2"/>
        <item x="3"/>
      </items>
    </pivotField>
  </pivotFields>
  <rowFields count="1">
    <field x="0"/>
  </rowFields>
  <rowItems count="6">
    <i>
      <x v="2"/>
    </i>
    <i>
      <x/>
    </i>
    <i>
      <x v="3"/>
    </i>
    <i>
      <x v="4"/>
    </i>
    <i>
      <x v="1"/>
    </i>
    <i t="grand">
      <x/>
    </i>
  </rowItems>
  <colFields count="1">
    <field x="-2"/>
  </colFields>
  <colItems count="3">
    <i>
      <x/>
    </i>
    <i i="1">
      <x v="1"/>
    </i>
    <i i="2">
      <x v="2"/>
    </i>
  </colItems>
  <dataFields count="3">
    <dataField name="Sum of Cost" fld="4" baseField="0" baseItem="0" numFmtId="166"/>
    <dataField name="Sum of Clicks" fld="2" baseField="0" baseItem="0"/>
    <dataField name="Sum of Cost per Conversation" fld="9" baseField="0" baseItem="0" numFmtId="9"/>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4EB6EC-EFF7-4E6D-8653-4579B5EBEC5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G22" firstHeaderRow="0" firstDataRow="1" firstDataCol="1"/>
  <pivotFields count="13">
    <pivotField axis="axisRow" showAll="0">
      <items count="8">
        <item x="2"/>
        <item x="4"/>
        <item x="0"/>
        <item x="1"/>
        <item x="5"/>
        <item x="3"/>
        <item h="1" x="6"/>
        <item t="default"/>
      </items>
    </pivotField>
    <pivotField showAll="0">
      <items count="7">
        <item x="0"/>
        <item x="1"/>
        <item x="2"/>
        <item x="3"/>
        <item x="4"/>
        <item x="5"/>
        <item t="default"/>
      </items>
    </pivotField>
    <pivotField dataField="1" showAll="0"/>
    <pivotField dataField="1" showAll="0"/>
    <pivotField dataField="1" showAll="0"/>
    <pivotField dataField="1" showAll="0"/>
    <pivotField showAll="0"/>
    <pivotField dataField="1"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7">
    <i>
      <x/>
    </i>
    <i>
      <x v="1"/>
    </i>
    <i>
      <x v="2"/>
    </i>
    <i>
      <x v="3"/>
    </i>
    <i>
      <x v="4"/>
    </i>
    <i>
      <x v="5"/>
    </i>
    <i t="grand">
      <x/>
    </i>
  </rowItems>
  <colFields count="1">
    <field x="-2"/>
  </colFields>
  <colItems count="6">
    <i>
      <x/>
    </i>
    <i i="1">
      <x v="1"/>
    </i>
    <i i="2">
      <x v="2"/>
    </i>
    <i i="3">
      <x v="3"/>
    </i>
    <i i="4">
      <x v="4"/>
    </i>
    <i i="5">
      <x v="5"/>
    </i>
  </colItems>
  <dataFields count="6">
    <dataField name="Sum of Clicks" fld="2" baseField="0" baseItem="0"/>
    <dataField name="Sum of Impressions" fld="3" baseField="0" baseItem="0"/>
    <dataField name="Sum of Cost" fld="4" baseField="0" baseItem="0" numFmtId="166"/>
    <dataField name="Sum of Conversions" fld="5" baseField="0" baseItem="0"/>
    <dataField name="Sum of Cost per click" fld="7" baseField="0" baseItem="0" numFmtId="165"/>
    <dataField name="Sum of Conversation Rate" fld="8" baseField="0" baseItem="0"/>
  </dataFields>
  <formats count="4">
    <format dxfId="15">
      <pivotArea outline="0" collapsedLevelsAreSubtotals="1" fieldPosition="0">
        <references count="1">
          <reference field="4294967294" count="1" selected="0">
            <x v="4"/>
          </reference>
        </references>
      </pivotArea>
    </format>
    <format dxfId="14">
      <pivotArea dataOnly="0" labelOnly="1" outline="0" fieldPosition="0">
        <references count="1">
          <reference field="4294967294" count="1">
            <x v="4"/>
          </reference>
        </references>
      </pivotArea>
    </format>
    <format dxfId="13">
      <pivotArea outline="0" collapsedLevelsAreSubtotals="1" fieldPosition="0">
        <references count="1">
          <reference field="4294967294" count="1" selected="0">
            <x v="2"/>
          </reference>
        </references>
      </pivotArea>
    </format>
    <format dxfId="12">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9B4008-BA99-487D-9CA1-F4A4510EC68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9" firstHeaderRow="0" firstDataRow="1" firstDataCol="1"/>
  <pivotFields count="13">
    <pivotField showAll="0">
      <items count="8">
        <item x="2"/>
        <item x="4"/>
        <item x="0"/>
        <item x="1"/>
        <item x="5"/>
        <item x="3"/>
        <item x="6"/>
        <item t="default"/>
      </items>
    </pivotField>
    <pivotField axis="axisRow" showAll="0">
      <items count="7">
        <item x="0"/>
        <item x="1"/>
        <item x="2"/>
        <item x="3"/>
        <item x="4"/>
        <item x="5"/>
        <item t="default"/>
      </items>
    </pivotField>
    <pivotField dataField="1" showAll="0"/>
    <pivotField showAll="0"/>
    <pivotField dataField="1" showAll="0"/>
    <pivotField dataField="1" showAll="0"/>
    <pivotField showAll="0"/>
    <pivotField showAll="0"/>
    <pivotField showAll="0"/>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0"/>
    <field x="1"/>
  </rowFields>
  <rowItems count="6">
    <i>
      <x v="1"/>
    </i>
    <i>
      <x v="3"/>
    </i>
    <i>
      <x v="6"/>
    </i>
    <i>
      <x v="9"/>
    </i>
    <i>
      <x v="12"/>
    </i>
    <i t="grand">
      <x/>
    </i>
  </rowItems>
  <colFields count="1">
    <field x="-2"/>
  </colFields>
  <colItems count="3">
    <i>
      <x/>
    </i>
    <i i="1">
      <x v="1"/>
    </i>
    <i i="2">
      <x v="2"/>
    </i>
  </colItems>
  <dataFields count="3">
    <dataField name="Sum of Clicks" fld="2" baseField="0" baseItem="0"/>
    <dataField name="Sum of Cost" fld="4" baseField="0" baseItem="0" numFmtId="166"/>
    <dataField name="Sum of Conversions" fld="5" baseField="0" baseItem="0"/>
  </dataFields>
  <formats count="2">
    <format dxfId="17">
      <pivotArea outline="0" collapsedLevelsAreSubtotals="1" fieldPosition="0">
        <references count="1">
          <reference field="4294967294" count="1" selected="0">
            <x v="1"/>
          </reference>
        </references>
      </pivotArea>
    </format>
    <format dxfId="16">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6405CB-8E20-46E0-B4F1-88D26E866F3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E35" firstHeaderRow="0" firstDataRow="1" firstDataCol="1"/>
  <pivotFields count="13">
    <pivotField axis="axisRow" showAll="0">
      <items count="8">
        <item x="2"/>
        <item x="4"/>
        <item x="0"/>
        <item x="1"/>
        <item x="5"/>
        <item x="3"/>
        <item h="1" x="6"/>
        <item t="default"/>
      </items>
    </pivotField>
    <pivotField showAll="0">
      <items count="7">
        <item x="0"/>
        <item x="1"/>
        <item x="2"/>
        <item x="3"/>
        <item x="4"/>
        <item x="5"/>
        <item t="default"/>
      </items>
    </pivotField>
    <pivotField dataField="1" showAll="0"/>
    <pivotField showAll="0"/>
    <pivotField showAll="0"/>
    <pivotField dataField="1" showAll="0"/>
    <pivotField showAll="0"/>
    <pivotField showAll="0"/>
    <pivotField dataField="1" showAll="0"/>
    <pivotField dataField="1" showAll="0"/>
    <pivotField showAll="0" defaultSubtotal="0"/>
    <pivotField showAll="0" defaultSubtotal="0"/>
    <pivotField showAll="0" defaultSubtotal="0">
      <items count="4">
        <item x="0"/>
        <item x="1"/>
        <item x="2"/>
        <item x="3"/>
      </items>
    </pivotField>
  </pivotFields>
  <rowFields count="1">
    <field x="0"/>
  </rowFields>
  <rowItems count="7">
    <i>
      <x/>
    </i>
    <i>
      <x v="1"/>
    </i>
    <i>
      <x v="2"/>
    </i>
    <i>
      <x v="3"/>
    </i>
    <i>
      <x v="4"/>
    </i>
    <i>
      <x v="5"/>
    </i>
    <i t="grand">
      <x/>
    </i>
  </rowItems>
  <colFields count="1">
    <field x="-2"/>
  </colFields>
  <colItems count="4">
    <i>
      <x/>
    </i>
    <i i="1">
      <x v="1"/>
    </i>
    <i i="2">
      <x v="2"/>
    </i>
    <i i="3">
      <x v="3"/>
    </i>
  </colItems>
  <dataFields count="4">
    <dataField name="Sum of Conversions" fld="5" baseField="0" baseItem="0"/>
    <dataField name="Sum of Clicks" fld="2" baseField="0" baseItem="0"/>
    <dataField name="Sum of Conversation Rate" fld="8" baseField="0" baseItem="0"/>
    <dataField name="Sum of Cost per Conversation" fld="9" baseField="0" baseItem="0" numFmtId="165"/>
  </dataFields>
  <formats count="2">
    <format dxfId="19">
      <pivotArea outline="0" collapsedLevelsAreSubtotals="1" fieldPosition="0">
        <references count="1">
          <reference field="4294967294" count="1" selected="0">
            <x v="3"/>
          </reference>
        </references>
      </pivotArea>
    </format>
    <format dxfId="18">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CEF2A84-E5AF-48EC-AEF8-659A81245461}" autoFormatId="16" applyNumberFormats="0" applyBorderFormats="0" applyFontFormats="0" applyPatternFormats="0" applyAlignmentFormats="0" applyWidthHeightFormats="0">
  <queryTableRefresh nextId="13" unboundColumnsRight="4">
    <queryTableFields count="10">
      <queryTableField id="1" name="Campaign Name" tableColumnId="1"/>
      <queryTableField id="2" name="Date" tableColumnId="2"/>
      <queryTableField id="3" name="Clicks" tableColumnId="3"/>
      <queryTableField id="4" name="Impressions" tableColumnId="4"/>
      <queryTableField id="5" name="Cost" tableColumnId="5"/>
      <queryTableField id="6" name="Conversions" tableColumnId="6"/>
      <queryTableField id="9" dataBound="0" tableColumnId="7"/>
      <queryTableField id="10" dataBound="0" tableColumnId="8"/>
      <queryTableField id="11" dataBound="0" tableColumnId="9"/>
      <queryTableField id="12"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C6AAC8A3-C650-4ABA-A660-780699915347}" sourceName="Years (Date)">
  <pivotTables>
    <pivotTable tabId="11" name="PivotTable2"/>
  </pivotTables>
  <data>
    <tabular pivotCacheId="1695057436">
      <items count="4">
        <i x="1" s="1"/>
        <i x="2" s="1"/>
        <i x="0"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cks" xr10:uid="{010FC3F9-8536-4027-A855-AD8697C80E85}" sourceName="Clicks">
  <pivotTables>
    <pivotTable tabId="10" name="PivotTable1"/>
  </pivotTables>
  <data>
    <tabular pivotCacheId="1695057436">
      <items count="5">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mpressions" xr10:uid="{C5D6DAD8-AFF0-4807-8F71-687C051EA0A3}" sourceName="Impressions">
  <pivotTables>
    <pivotTable tabId="10" name="PivotTable1"/>
  </pivotTables>
  <data>
    <tabular pivotCacheId="1695057436">
      <items count="5">
        <i x="0" s="1"/>
        <i x="2" s="1"/>
        <i x="1"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versions" xr10:uid="{26464027-5A69-47CD-B75F-47130B63C08B}" sourceName="Conversions">
  <pivotTables>
    <pivotTable tabId="10" name="PivotTable1"/>
  </pivotTables>
  <data>
    <tabular pivotCacheId="1695057436">
      <items count="5">
        <i x="0" s="1"/>
        <i x="2" s="1"/>
        <i x="1"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95FDDAE9-F783-42BF-8563-49D22EDD4BD1}" sourceName="Campaign Name">
  <pivotTables>
    <pivotTable tabId="12" name="PivotTable3"/>
  </pivotTables>
  <data>
    <tabular pivotCacheId="1695057436">
      <items count="5">
        <i x="2" s="1"/>
        <i x="4" s="1"/>
        <i x="0"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 xr10:uid="{8B60B29C-13AA-4D86-9B02-93E70C792B99}" sourceName="Cost">
  <pivotTables>
    <pivotTable tabId="12" name="PivotTable3"/>
  </pivotTables>
  <data>
    <tabular pivotCacheId="1695057436">
      <items count="5">
        <i x="0" s="1"/>
        <i x="2" s="1"/>
        <i x="1" s="1"/>
        <i x="3"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1" xr10:uid="{A75EAA9B-095F-474E-8CF7-0DCD6B26E419}" sourceName="Campaign Name">
  <pivotTables>
    <pivotTable tabId="11" name="PivotTable2"/>
  </pivotTables>
  <data>
    <tabular pivotCacheId="1695057436">
      <items count="5">
        <i x="2" s="1"/>
        <i x="4" s="1"/>
        <i x="0" s="1"/>
        <i x="1"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1" xr10:uid="{506853B4-CDCA-435A-B0B1-B4F29E7BC051}" sourceName="Years (Date)">
  <pivotTables>
    <pivotTable tabId="10" name="PivotTable1"/>
  </pivotTables>
  <data>
    <tabular pivotCacheId="1695057436">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9555468E-F5F1-46A8-8BAC-EB6DF78605B3}" cache="Slicer_Years__Date" caption="Years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cks" xr10:uid="{8E338D65-677D-48DF-886D-EAD14769E8A4}" cache="Slicer_Clicks" caption="Clicks" rowHeight="234950"/>
  <slicer name="Impressions" xr10:uid="{F163274D-BB8E-4402-BDD9-89B4DA257858}" cache="Slicer_Impressions" caption="Impressions" rowHeight="234950"/>
  <slicer name="Conversions" xr10:uid="{FE0070BE-9FCE-45F4-BBE0-693824E5C83D}" cache="Slicer_Conversions" caption="Conversion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1" xr10:uid="{6950A412-1C06-4C66-9493-9C81C32E8782}" cache="Slicer_Years__Date" caption="Years (Date)" style="SlicerStyleOther1" rowHeight="234950"/>
  <slicer name="Campaign Name" xr10:uid="{23EE68F5-DD65-42BF-81FA-302E7D328E8A}" cache="Slicer_Campaign_Name" caption="Campaign Name" style="SlicerStyleOther1" rowHeight="234950"/>
  <slicer name="Cost" xr10:uid="{93605A80-9BC3-4BB4-94B3-A0C4DD1A4735}" cache="Slicer_Cost" caption="Cost" style="SlicerStyleOther1" rowHeight="234950"/>
  <slicer name="Campaign Name 1" xr10:uid="{B05335FB-523F-4E8E-9909-A9FFF56C1B58}" cache="Slicer_Campaign_Name1" caption="Campaign Name" style="SlicerStyleOther1" rowHeight="234950"/>
  <slicer name="Years (Date) 2" xr10:uid="{7ECD86A5-D6B3-4B86-895A-B131A1A7EC3B}" cache="Slicer_Years__Date1" caption="Years (Date)"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06E5D2-7366-4A16-A163-D4399D5904AE}" name="marketing_campaign_analysis_data_PM0304" displayName="marketing_campaign_analysis_data_PM0304" ref="A1:J7" tableType="queryTable" totalsRowCount="1" headerRowDxfId="33">
  <autoFilter ref="A1:J6" xr:uid="{9E06E5D2-7366-4A16-A163-D4399D5904AE}"/>
  <tableColumns count="10">
    <tableColumn id="1" xr3:uid="{4AA8613A-D2D7-4FAC-BD73-499191B8BB57}" uniqueName="1" name="Campaign Name" totalsRowLabel="Total" queryTableFieldId="1" dataDxfId="32"/>
    <tableColumn id="2" xr3:uid="{5519E0E6-A407-46A1-B591-B9CC1224F366}" uniqueName="2" name="Date" queryTableFieldId="2" dataDxfId="31" totalsRowDxfId="30"/>
    <tableColumn id="3" xr3:uid="{D5F9B7B5-090C-44C0-A045-35281130EE1B}" uniqueName="3" name="Clicks" totalsRowFunction="custom" queryTableFieldId="3">
      <totalsRowFormula>SUM(marketing_campaign_analysis_data_PM0304[Clicks])</totalsRowFormula>
    </tableColumn>
    <tableColumn id="4" xr3:uid="{54B891BE-6452-4C82-BC6C-AFA67F2059C5}" uniqueName="4" name="Impressions" totalsRowFunction="custom" queryTableFieldId="4">
      <totalsRowFormula>SUM(marketing_campaign_analysis_data_PM0304[Impressions])</totalsRowFormula>
    </tableColumn>
    <tableColumn id="5" xr3:uid="{C6A28A53-A166-44D7-8E1C-06BD5E2D90FD}" uniqueName="5" name="Cost" totalsRowFunction="custom" queryTableFieldId="5" dataDxfId="29" totalsRowDxfId="28">
      <totalsRowFormula>SUM(marketing_campaign_analysis_data_PM0304[Cost])</totalsRowFormula>
    </tableColumn>
    <tableColumn id="6" xr3:uid="{A65BCB8C-6540-4817-84B8-5C323C18DED7}" uniqueName="6" name="Conversions" totalsRowFunction="custom" queryTableFieldId="6">
      <totalsRowFormula>SUM(marketing_campaign_analysis_data_PM0304[Conversions])</totalsRowFormula>
    </tableColumn>
    <tableColumn id="7" xr3:uid="{C6916C1E-F8E8-4181-AF91-CAD998CB900C}" uniqueName="7" name="Click rate " totalsRowFunction="custom" queryTableFieldId="9" dataDxfId="27" totalsRowDxfId="26">
      <calculatedColumnFormula>marketing_campaign_analysis_data_PM0304[[#This Row],[Clicks]]/marketing_campaign_analysis_data_PM0304[[#This Row],[Impressions]]</calculatedColumnFormula>
      <totalsRowFormula>SUM(marketing_campaign_analysis_data_PM0304[[Click rate ]])</totalsRowFormula>
    </tableColumn>
    <tableColumn id="8" xr3:uid="{98AB2DC4-E9F1-44AB-9FFB-588D1058701E}" uniqueName="8" name="Cost per click" totalsRowFunction="custom" queryTableFieldId="10" dataDxfId="25" totalsRowDxfId="24">
      <calculatedColumnFormula>marketing_campaign_analysis_data_PM0304[[#This Row],[Cost]]/marketing_campaign_analysis_data_PM0304[[#This Row],[Clicks]]</calculatedColumnFormula>
      <totalsRowFormula>SUM(marketing_campaign_analysis_data_PM0304[Cost per click])</totalsRowFormula>
    </tableColumn>
    <tableColumn id="9" xr3:uid="{FF865D7C-0BEE-4016-9162-F5C8EA99BF8E}" uniqueName="9" name="Conversation Rate" totalsRowFunction="custom" queryTableFieldId="11" dataDxfId="23" totalsRowDxfId="22">
      <calculatedColumnFormula>marketing_campaign_analysis_data_PM0304[[#This Row],[Conversions]]/marketing_campaign_analysis_data_PM0304[[#This Row],[Impressions]]</calculatedColumnFormula>
      <totalsRowFormula>SUM(marketing_campaign_analysis_data_PM0304[Conversation Rate])</totalsRowFormula>
    </tableColumn>
    <tableColumn id="10" xr3:uid="{163C422E-26D7-4B99-AE91-DE81D6EC275B}" uniqueName="10" name="Cost per Conversation" totalsRowFunction="custom" queryTableFieldId="12" dataDxfId="21" totalsRowDxfId="20">
      <calculatedColumnFormula>marketing_campaign_analysis_data_PM0304[[#This Row],[Conversions]]/marketing_campaign_analysis_data_PM0304[[#This Row],[Clicks]]</calculatedColumnFormula>
      <totalsRowFormula>SUM(marketing_campaign_analysis_data_PM0304[Cost per Conversation])</totalsRow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C8E54-8092-4C8E-BE51-92F2922D5DD0}">
  <dimension ref="A1:G6"/>
  <sheetViews>
    <sheetView workbookViewId="0">
      <selection activeCell="G5" sqref="G5"/>
    </sheetView>
  </sheetViews>
  <sheetFormatPr defaultRowHeight="14.4" x14ac:dyDescent="0.3"/>
  <cols>
    <col min="1" max="1" width="12.77734375" bestFit="1" customWidth="1"/>
    <col min="2" max="2" width="12.21875" bestFit="1" customWidth="1"/>
    <col min="3" max="3" width="11.109375" bestFit="1" customWidth="1"/>
    <col min="4" max="4" width="18.21875" bestFit="1" customWidth="1"/>
    <col min="5" max="5" width="18" bestFit="1" customWidth="1"/>
    <col min="6" max="6" width="18.88671875" bestFit="1" customWidth="1"/>
    <col min="7" max="7" width="23.44140625" bestFit="1" customWidth="1"/>
    <col min="8" max="8" width="14.5546875" bestFit="1" customWidth="1"/>
    <col min="9" max="9" width="11.109375" bestFit="1" customWidth="1"/>
    <col min="10" max="10" width="12.109375" bestFit="1" customWidth="1"/>
    <col min="11" max="11" width="11.109375" bestFit="1" customWidth="1"/>
    <col min="12" max="12" width="16.88671875" bestFit="1" customWidth="1"/>
    <col min="13" max="13" width="15.88671875" bestFit="1" customWidth="1"/>
  </cols>
  <sheetData>
    <row r="1" spans="1:7" ht="18" customHeight="1" x14ac:dyDescent="0.3">
      <c r="A1" s="13" t="s">
        <v>35</v>
      </c>
      <c r="B1" s="13"/>
      <c r="C1" s="13"/>
      <c r="D1" s="13"/>
    </row>
    <row r="2" spans="1:7" x14ac:dyDescent="0.3">
      <c r="A2" s="13"/>
      <c r="B2" s="13"/>
      <c r="C2" s="13"/>
      <c r="D2" s="13"/>
    </row>
    <row r="3" spans="1:7" x14ac:dyDescent="0.3">
      <c r="A3" s="3" t="s">
        <v>12</v>
      </c>
      <c r="B3" t="s">
        <v>14</v>
      </c>
      <c r="C3" t="s">
        <v>16</v>
      </c>
      <c r="D3" t="s">
        <v>17</v>
      </c>
      <c r="E3" t="s">
        <v>15</v>
      </c>
      <c r="F3" t="s">
        <v>22</v>
      </c>
      <c r="G3" t="s">
        <v>23</v>
      </c>
    </row>
    <row r="4" spans="1:7" x14ac:dyDescent="0.3">
      <c r="A4" s="4" t="s">
        <v>33</v>
      </c>
      <c r="B4" s="14">
        <v>900</v>
      </c>
      <c r="C4" s="8">
        <v>1100</v>
      </c>
      <c r="D4" s="14">
        <v>175</v>
      </c>
      <c r="E4" s="14">
        <v>27000</v>
      </c>
      <c r="F4" s="5">
        <v>4.95</v>
      </c>
      <c r="G4" s="2">
        <v>2.5653846153846152E-2</v>
      </c>
    </row>
    <row r="5" spans="1:7" x14ac:dyDescent="0.3">
      <c r="A5" s="4" t="s">
        <v>34</v>
      </c>
      <c r="B5" s="14">
        <v>400</v>
      </c>
      <c r="C5" s="8">
        <v>400</v>
      </c>
      <c r="D5" s="14">
        <v>80</v>
      </c>
      <c r="E5" s="14">
        <v>10000</v>
      </c>
      <c r="F5" s="5">
        <v>1</v>
      </c>
      <c r="G5" s="2">
        <v>8.0000000000000002E-3</v>
      </c>
    </row>
    <row r="6" spans="1:7" x14ac:dyDescent="0.3">
      <c r="A6" s="4" t="s">
        <v>13</v>
      </c>
      <c r="B6" s="14">
        <v>1300</v>
      </c>
      <c r="C6" s="8">
        <v>1500</v>
      </c>
      <c r="D6" s="14">
        <v>255</v>
      </c>
      <c r="E6" s="14">
        <v>37000</v>
      </c>
      <c r="F6" s="5">
        <v>5.95</v>
      </c>
      <c r="G6" s="2">
        <v>3.3653846153846152E-2</v>
      </c>
    </row>
  </sheetData>
  <mergeCells count="1">
    <mergeCell ref="A1:D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82BDB-8D45-4BBF-9E0B-EBAEB1B8A473}">
  <dimension ref="A1:G9"/>
  <sheetViews>
    <sheetView workbookViewId="0">
      <selection activeCell="Q22" sqref="Q22"/>
    </sheetView>
  </sheetViews>
  <sheetFormatPr defaultRowHeight="14.4" x14ac:dyDescent="0.3"/>
  <cols>
    <col min="1" max="1" width="14.88671875" bestFit="1" customWidth="1"/>
    <col min="2" max="2" width="12.21875" bestFit="1" customWidth="1"/>
    <col min="3" max="3" width="18" bestFit="1" customWidth="1"/>
    <col min="4" max="4" width="11.109375" bestFit="1" customWidth="1"/>
    <col min="5" max="5" width="18.21875" bestFit="1" customWidth="1"/>
    <col min="6" max="6" width="18.88671875" bestFit="1" customWidth="1"/>
    <col min="7" max="7" width="23.44140625" bestFit="1" customWidth="1"/>
  </cols>
  <sheetData>
    <row r="1" spans="1:7" x14ac:dyDescent="0.3">
      <c r="A1" s="13" t="s">
        <v>36</v>
      </c>
      <c r="B1" s="13"/>
      <c r="C1" s="13"/>
    </row>
    <row r="2" spans="1:7" x14ac:dyDescent="0.3">
      <c r="A2" s="13"/>
      <c r="B2" s="13"/>
      <c r="C2" s="13"/>
    </row>
    <row r="3" spans="1:7" x14ac:dyDescent="0.3">
      <c r="A3" s="3" t="s">
        <v>12</v>
      </c>
      <c r="B3" t="s">
        <v>14</v>
      </c>
      <c r="C3" t="s">
        <v>15</v>
      </c>
      <c r="D3" t="s">
        <v>16</v>
      </c>
      <c r="E3" t="s">
        <v>17</v>
      </c>
      <c r="F3" t="s">
        <v>22</v>
      </c>
      <c r="G3" t="s">
        <v>23</v>
      </c>
    </row>
    <row r="4" spans="1:7" x14ac:dyDescent="0.3">
      <c r="A4" s="4" t="s">
        <v>6</v>
      </c>
      <c r="B4" s="14">
        <v>150</v>
      </c>
      <c r="C4" s="8">
        <v>5000</v>
      </c>
      <c r="D4" s="8">
        <v>200</v>
      </c>
      <c r="E4" s="14">
        <v>30</v>
      </c>
      <c r="F4" s="5">
        <v>1.3333333333333333</v>
      </c>
      <c r="G4" s="2">
        <v>6.0000000000000001E-3</v>
      </c>
    </row>
    <row r="5" spans="1:7" x14ac:dyDescent="0.3">
      <c r="A5" s="4" t="s">
        <v>8</v>
      </c>
      <c r="B5" s="14">
        <v>200</v>
      </c>
      <c r="C5" s="8">
        <v>6500</v>
      </c>
      <c r="D5" s="8">
        <v>250</v>
      </c>
      <c r="E5" s="14">
        <v>40</v>
      </c>
      <c r="F5" s="5">
        <v>1.25</v>
      </c>
      <c r="G5" s="2">
        <v>6.1538461538461538E-3</v>
      </c>
    </row>
    <row r="6" spans="1:7" x14ac:dyDescent="0.3">
      <c r="A6" s="4" t="s">
        <v>7</v>
      </c>
      <c r="B6" s="14">
        <v>250</v>
      </c>
      <c r="C6" s="8">
        <v>7500</v>
      </c>
      <c r="D6" s="8">
        <v>300</v>
      </c>
      <c r="E6" s="14">
        <v>45</v>
      </c>
      <c r="F6" s="5">
        <v>1.2</v>
      </c>
      <c r="G6" s="2">
        <v>6.0000000000000001E-3</v>
      </c>
    </row>
    <row r="7" spans="1:7" x14ac:dyDescent="0.3">
      <c r="A7" s="4" t="s">
        <v>9</v>
      </c>
      <c r="B7" s="14">
        <v>300</v>
      </c>
      <c r="C7" s="8">
        <v>8000</v>
      </c>
      <c r="D7" s="8">
        <v>350</v>
      </c>
      <c r="E7" s="14">
        <v>60</v>
      </c>
      <c r="F7" s="5">
        <v>1.1666666666666667</v>
      </c>
      <c r="G7" s="2">
        <v>7.4999999999999997E-3</v>
      </c>
    </row>
    <row r="8" spans="1:7" x14ac:dyDescent="0.3">
      <c r="A8" s="4" t="s">
        <v>10</v>
      </c>
      <c r="B8" s="14">
        <v>400</v>
      </c>
      <c r="C8" s="8">
        <v>10000</v>
      </c>
      <c r="D8" s="8">
        <v>400</v>
      </c>
      <c r="E8" s="14">
        <v>80</v>
      </c>
      <c r="F8" s="5">
        <v>1</v>
      </c>
      <c r="G8" s="2">
        <v>8.0000000000000002E-3</v>
      </c>
    </row>
    <row r="9" spans="1:7" x14ac:dyDescent="0.3">
      <c r="A9" s="4" t="s">
        <v>13</v>
      </c>
      <c r="B9" s="14">
        <v>1300</v>
      </c>
      <c r="C9" s="8">
        <v>37000</v>
      </c>
      <c r="D9" s="8">
        <v>1500</v>
      </c>
      <c r="E9" s="14">
        <v>255</v>
      </c>
      <c r="F9" s="5">
        <v>5.95</v>
      </c>
      <c r="G9" s="2">
        <v>3.3653846153846152E-2</v>
      </c>
    </row>
  </sheetData>
  <mergeCells count="1">
    <mergeCell ref="A1:C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6A4DE-C848-4854-9C7B-803E381CBE93}">
  <dimension ref="A1:D9"/>
  <sheetViews>
    <sheetView workbookViewId="0">
      <selection activeCell="E9" sqref="E9"/>
    </sheetView>
  </sheetViews>
  <sheetFormatPr defaultRowHeight="14.4" x14ac:dyDescent="0.3"/>
  <cols>
    <col min="1" max="1" width="14.88671875" bestFit="1" customWidth="1"/>
    <col min="2" max="2" width="11.109375" bestFit="1" customWidth="1"/>
    <col min="3" max="3" width="12.21875" bestFit="1" customWidth="1"/>
    <col min="4" max="4" width="26.77734375" bestFit="1" customWidth="1"/>
  </cols>
  <sheetData>
    <row r="1" spans="1:4" x14ac:dyDescent="0.3">
      <c r="A1" s="13" t="s">
        <v>37</v>
      </c>
      <c r="B1" s="13"/>
      <c r="C1" s="13"/>
      <c r="D1" s="13"/>
    </row>
    <row r="2" spans="1:4" x14ac:dyDescent="0.3">
      <c r="A2" s="13"/>
      <c r="B2" s="13"/>
      <c r="C2" s="13"/>
      <c r="D2" s="13"/>
    </row>
    <row r="3" spans="1:4" x14ac:dyDescent="0.3">
      <c r="A3" s="3" t="s">
        <v>12</v>
      </c>
      <c r="B3" t="s">
        <v>16</v>
      </c>
      <c r="C3" t="s">
        <v>14</v>
      </c>
      <c r="D3" t="s">
        <v>29</v>
      </c>
    </row>
    <row r="4" spans="1:4" x14ac:dyDescent="0.3">
      <c r="A4" s="4" t="s">
        <v>6</v>
      </c>
      <c r="B4" s="8">
        <v>200</v>
      </c>
      <c r="C4" s="14">
        <v>150</v>
      </c>
      <c r="D4" s="6">
        <v>0.2</v>
      </c>
    </row>
    <row r="5" spans="1:4" x14ac:dyDescent="0.3">
      <c r="A5" s="4" t="s">
        <v>8</v>
      </c>
      <c r="B5" s="8">
        <v>250</v>
      </c>
      <c r="C5" s="14">
        <v>200</v>
      </c>
      <c r="D5" s="6">
        <v>0.2</v>
      </c>
    </row>
    <row r="6" spans="1:4" x14ac:dyDescent="0.3">
      <c r="A6" s="4" t="s">
        <v>7</v>
      </c>
      <c r="B6" s="8">
        <v>300</v>
      </c>
      <c r="C6" s="14">
        <v>250</v>
      </c>
      <c r="D6" s="6">
        <v>0.18</v>
      </c>
    </row>
    <row r="7" spans="1:4" x14ac:dyDescent="0.3">
      <c r="A7" s="4" t="s">
        <v>9</v>
      </c>
      <c r="B7" s="8">
        <v>350</v>
      </c>
      <c r="C7" s="14">
        <v>300</v>
      </c>
      <c r="D7" s="6">
        <v>0.2</v>
      </c>
    </row>
    <row r="8" spans="1:4" x14ac:dyDescent="0.3">
      <c r="A8" s="4" t="s">
        <v>10</v>
      </c>
      <c r="B8" s="8">
        <v>400</v>
      </c>
      <c r="C8" s="14">
        <v>400</v>
      </c>
      <c r="D8" s="6">
        <v>0.2</v>
      </c>
    </row>
    <row r="9" spans="1:4" x14ac:dyDescent="0.3">
      <c r="A9" s="4" t="s">
        <v>13</v>
      </c>
      <c r="B9" s="8">
        <v>1500</v>
      </c>
      <c r="C9" s="14">
        <v>1300</v>
      </c>
      <c r="D9" s="6">
        <v>0.98</v>
      </c>
    </row>
  </sheetData>
  <mergeCells count="1">
    <mergeCell ref="A1:D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625A-5630-461B-848D-0B2AE7D09BDF}">
  <sheetPr>
    <tabColor rgb="FF00B0F0"/>
  </sheetPr>
  <dimension ref="A1:J15"/>
  <sheetViews>
    <sheetView workbookViewId="0">
      <selection activeCell="J5" sqref="J5"/>
    </sheetView>
  </sheetViews>
  <sheetFormatPr defaultRowHeight="14.4" x14ac:dyDescent="0.3"/>
  <cols>
    <col min="1" max="1" width="18.77734375" bestFit="1" customWidth="1"/>
    <col min="2" max="2" width="10.5546875" bestFit="1" customWidth="1"/>
    <col min="3" max="3" width="8.44140625" bestFit="1" customWidth="1"/>
    <col min="4" max="4" width="14.33203125" bestFit="1" customWidth="1"/>
    <col min="5" max="5" width="9.21875" style="8" bestFit="1" customWidth="1"/>
    <col min="6" max="6" width="13.44140625" bestFit="1" customWidth="1"/>
    <col min="7" max="7" width="12.44140625" bestFit="1" customWidth="1"/>
    <col min="8" max="8" width="15.77734375" style="5" bestFit="1" customWidth="1"/>
    <col min="9" max="9" width="20.77734375" bestFit="1" customWidth="1"/>
    <col min="10" max="10" width="24.44140625" bestFit="1" customWidth="1"/>
  </cols>
  <sheetData>
    <row r="1" spans="1:10" s="10" customFormat="1" ht="15.6" x14ac:dyDescent="0.3">
      <c r="A1" s="10" t="s">
        <v>0</v>
      </c>
      <c r="B1" s="10" t="s">
        <v>1</v>
      </c>
      <c r="C1" s="10" t="s">
        <v>2</v>
      </c>
      <c r="D1" s="10" t="s">
        <v>3</v>
      </c>
      <c r="E1" s="11" t="s">
        <v>4</v>
      </c>
      <c r="F1" s="10" t="s">
        <v>5</v>
      </c>
      <c r="G1" s="10" t="s">
        <v>19</v>
      </c>
      <c r="H1" s="12" t="s">
        <v>18</v>
      </c>
      <c r="I1" s="10" t="s">
        <v>20</v>
      </c>
      <c r="J1" s="10" t="s">
        <v>21</v>
      </c>
    </row>
    <row r="2" spans="1:10" x14ac:dyDescent="0.3">
      <c r="A2" t="s">
        <v>6</v>
      </c>
      <c r="B2" s="1">
        <v>45352</v>
      </c>
      <c r="C2">
        <v>150</v>
      </c>
      <c r="D2">
        <v>5000</v>
      </c>
      <c r="E2" s="8">
        <v>200</v>
      </c>
      <c r="F2">
        <v>30</v>
      </c>
      <c r="G2" s="2">
        <f>marketing_campaign_analysis_data_PM0304[[#This Row],[Clicks]]/marketing_campaign_analysis_data_PM0304[[#This Row],[Impressions]]</f>
        <v>0.03</v>
      </c>
      <c r="H2" s="5">
        <f>marketing_campaign_analysis_data_PM0304[[#This Row],[Cost]]/marketing_campaign_analysis_data_PM0304[[#This Row],[Clicks]]</f>
        <v>1.3333333333333333</v>
      </c>
      <c r="I2" s="2">
        <f>marketing_campaign_analysis_data_PM0304[[#This Row],[Conversions]]/marketing_campaign_analysis_data_PM0304[[#This Row],[Impressions]]</f>
        <v>6.0000000000000001E-3</v>
      </c>
      <c r="J2" s="6">
        <f>marketing_campaign_analysis_data_PM0304[[#This Row],[Conversions]]/marketing_campaign_analysis_data_PM0304[[#This Row],[Clicks]]</f>
        <v>0.2</v>
      </c>
    </row>
    <row r="3" spans="1:10" x14ac:dyDescent="0.3">
      <c r="A3" t="s">
        <v>7</v>
      </c>
      <c r="B3" s="1">
        <v>45458</v>
      </c>
      <c r="C3">
        <v>250</v>
      </c>
      <c r="D3">
        <v>7500</v>
      </c>
      <c r="E3" s="8">
        <v>300</v>
      </c>
      <c r="F3">
        <v>45</v>
      </c>
      <c r="G3" s="2">
        <f>marketing_campaign_analysis_data_PM0304[[#This Row],[Clicks]]/marketing_campaign_analysis_data_PM0304[[#This Row],[Impressions]]</f>
        <v>3.3333333333333333E-2</v>
      </c>
      <c r="H3" s="5">
        <f>marketing_campaign_analysis_data_PM0304[[#This Row],[Cost]]/marketing_campaign_analysis_data_PM0304[[#This Row],[Clicks]]</f>
        <v>1.2</v>
      </c>
      <c r="I3" s="2">
        <f>marketing_campaign_analysis_data_PM0304[[#This Row],[Conversions]]/marketing_campaign_analysis_data_PM0304[[#This Row],[Impressions]]</f>
        <v>6.0000000000000001E-3</v>
      </c>
      <c r="J3" s="6">
        <f>marketing_campaign_analysis_data_PM0304[[#This Row],[Conversions]]/marketing_campaign_analysis_data_PM0304[[#This Row],[Clicks]]</f>
        <v>0.18</v>
      </c>
    </row>
    <row r="4" spans="1:10" x14ac:dyDescent="0.3">
      <c r="A4" t="s">
        <v>8</v>
      </c>
      <c r="B4" s="1">
        <v>45545</v>
      </c>
      <c r="C4">
        <v>200</v>
      </c>
      <c r="D4">
        <v>6500</v>
      </c>
      <c r="E4" s="8">
        <v>250</v>
      </c>
      <c r="F4">
        <v>40</v>
      </c>
      <c r="G4" s="2">
        <f>marketing_campaign_analysis_data_PM0304[[#This Row],[Clicks]]/marketing_campaign_analysis_data_PM0304[[#This Row],[Impressions]]</f>
        <v>3.0769230769230771E-2</v>
      </c>
      <c r="H4" s="5">
        <f>marketing_campaign_analysis_data_PM0304[[#This Row],[Cost]]/marketing_campaign_analysis_data_PM0304[[#This Row],[Clicks]]</f>
        <v>1.25</v>
      </c>
      <c r="I4" s="2">
        <f>marketing_campaign_analysis_data_PM0304[[#This Row],[Conversions]]/marketing_campaign_analysis_data_PM0304[[#This Row],[Impressions]]</f>
        <v>6.1538461538461538E-3</v>
      </c>
      <c r="J4" s="6">
        <f>marketing_campaign_analysis_data_PM0304[[#This Row],[Conversions]]/marketing_campaign_analysis_data_PM0304[[#This Row],[Clicks]]</f>
        <v>0.2</v>
      </c>
    </row>
    <row r="5" spans="1:10" x14ac:dyDescent="0.3">
      <c r="A5" t="s">
        <v>9</v>
      </c>
      <c r="B5" s="1">
        <v>45631</v>
      </c>
      <c r="C5">
        <v>300</v>
      </c>
      <c r="D5">
        <v>8000</v>
      </c>
      <c r="E5" s="8">
        <v>350</v>
      </c>
      <c r="F5">
        <v>60</v>
      </c>
      <c r="G5" s="2">
        <f>marketing_campaign_analysis_data_PM0304[[#This Row],[Clicks]]/marketing_campaign_analysis_data_PM0304[[#This Row],[Impressions]]</f>
        <v>3.7499999999999999E-2</v>
      </c>
      <c r="H5" s="5">
        <f>marketing_campaign_analysis_data_PM0304[[#This Row],[Cost]]/marketing_campaign_analysis_data_PM0304[[#This Row],[Clicks]]</f>
        <v>1.1666666666666667</v>
      </c>
      <c r="I5" s="2">
        <f>marketing_campaign_analysis_data_PM0304[[#This Row],[Conversions]]/marketing_campaign_analysis_data_PM0304[[#This Row],[Impressions]]</f>
        <v>7.4999999999999997E-3</v>
      </c>
      <c r="J5" s="6">
        <f>marketing_campaign_analysis_data_PM0304[[#This Row],[Conversions]]/marketing_campaign_analysis_data_PM0304[[#This Row],[Clicks]]</f>
        <v>0.2</v>
      </c>
    </row>
    <row r="6" spans="1:10" x14ac:dyDescent="0.3">
      <c r="A6" t="s">
        <v>10</v>
      </c>
      <c r="B6" s="1">
        <v>45658</v>
      </c>
      <c r="C6">
        <v>400</v>
      </c>
      <c r="D6">
        <v>10000</v>
      </c>
      <c r="E6" s="8">
        <v>400</v>
      </c>
      <c r="F6">
        <v>80</v>
      </c>
      <c r="G6" s="2">
        <f>marketing_campaign_analysis_data_PM0304[[#This Row],[Clicks]]/marketing_campaign_analysis_data_PM0304[[#This Row],[Impressions]]</f>
        <v>0.04</v>
      </c>
      <c r="H6" s="5">
        <f>marketing_campaign_analysis_data_PM0304[[#This Row],[Cost]]/marketing_campaign_analysis_data_PM0304[[#This Row],[Clicks]]</f>
        <v>1</v>
      </c>
      <c r="I6" s="2">
        <f>marketing_campaign_analysis_data_PM0304[[#This Row],[Conversions]]/marketing_campaign_analysis_data_PM0304[[#This Row],[Impressions]]</f>
        <v>8.0000000000000002E-3</v>
      </c>
      <c r="J6" s="6">
        <f>marketing_campaign_analysis_data_PM0304[[#This Row],[Conversions]]/marketing_campaign_analysis_data_PM0304[[#This Row],[Clicks]]</f>
        <v>0.2</v>
      </c>
    </row>
    <row r="7" spans="1:10" x14ac:dyDescent="0.3">
      <c r="A7" t="s">
        <v>11</v>
      </c>
      <c r="B7" s="1"/>
      <c r="C7">
        <f>SUM(marketing_campaign_analysis_data_PM0304[Clicks])</f>
        <v>1300</v>
      </c>
      <c r="D7">
        <f>SUM(marketing_campaign_analysis_data_PM0304[Impressions])</f>
        <v>37000</v>
      </c>
      <c r="E7" s="8">
        <f>SUM(marketing_campaign_analysis_data_PM0304[Cost])</f>
        <v>1500</v>
      </c>
      <c r="F7">
        <f>SUM(marketing_campaign_analysis_data_PM0304[Conversions])</f>
        <v>255</v>
      </c>
      <c r="G7" s="2">
        <f>SUM(marketing_campaign_analysis_data_PM0304[[Click rate ]])</f>
        <v>0.17160256410256411</v>
      </c>
      <c r="H7" s="5">
        <f>SUM(marketing_campaign_analysis_data_PM0304[Cost per click])</f>
        <v>5.95</v>
      </c>
      <c r="I7" s="2">
        <f>SUM(marketing_campaign_analysis_data_PM0304[Conversation Rate])</f>
        <v>3.3653846153846152E-2</v>
      </c>
      <c r="J7" s="6">
        <f>SUM(marketing_campaign_analysis_data_PM0304[Cost per Conversation])</f>
        <v>0.98</v>
      </c>
    </row>
    <row r="8" spans="1:10" x14ac:dyDescent="0.3">
      <c r="B8" s="1"/>
    </row>
    <row r="9" spans="1:10" x14ac:dyDescent="0.3">
      <c r="F9" s="2"/>
    </row>
    <row r="14" spans="1:10" x14ac:dyDescent="0.3">
      <c r="I14" s="2"/>
    </row>
    <row r="15" spans="1:10" ht="18" x14ac:dyDescent="0.35">
      <c r="G15" s="9"/>
    </row>
  </sheetData>
  <phoneticPr fontId="2" type="noConversion"/>
  <conditionalFormatting sqref="G2:G6">
    <cfRule type="cellIs" dxfId="11" priority="1" operator="greaterThan">
      <formula>0.035</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6052C-DA85-4D8A-81CB-71265D5A62B3}">
  <dimension ref="A1:G36"/>
  <sheetViews>
    <sheetView workbookViewId="0">
      <selection activeCell="A22" sqref="A22"/>
    </sheetView>
  </sheetViews>
  <sheetFormatPr defaultRowHeight="14.4" x14ac:dyDescent="0.3"/>
  <cols>
    <col min="1" max="1" width="13.88671875" bestFit="1" customWidth="1"/>
    <col min="2" max="2" width="17.88671875" bestFit="1" customWidth="1"/>
    <col min="3" max="3" width="12.109375" style="8" bestFit="1" customWidth="1"/>
    <col min="4" max="4" width="23.109375" bestFit="1" customWidth="1"/>
    <col min="5" max="5" width="26.33203125" bestFit="1" customWidth="1"/>
    <col min="6" max="6" width="18.6640625" bestFit="1" customWidth="1"/>
    <col min="7" max="7" width="23.109375" bestFit="1" customWidth="1"/>
    <col min="8" max="8" width="12.44140625" bestFit="1" customWidth="1"/>
    <col min="9" max="9" width="11.109375" bestFit="1" customWidth="1"/>
    <col min="10" max="10" width="17.88671875" bestFit="1" customWidth="1"/>
    <col min="11" max="11" width="14.5546875" bestFit="1" customWidth="1"/>
    <col min="12" max="12" width="11.109375" bestFit="1" customWidth="1"/>
    <col min="13" max="13" width="17.88671875" bestFit="1" customWidth="1"/>
    <col min="14" max="14" width="12.109375" bestFit="1" customWidth="1"/>
    <col min="15" max="15" width="11.109375" bestFit="1" customWidth="1"/>
    <col min="16" max="16" width="17.88671875" bestFit="1" customWidth="1"/>
    <col min="17" max="17" width="12.109375" bestFit="1" customWidth="1"/>
    <col min="18" max="18" width="11.109375" bestFit="1" customWidth="1"/>
    <col min="19" max="19" width="17.88671875" bestFit="1" customWidth="1"/>
    <col min="20" max="20" width="12.109375" bestFit="1" customWidth="1"/>
    <col min="21" max="21" width="11.109375" bestFit="1" customWidth="1"/>
    <col min="22" max="22" width="17.88671875" bestFit="1" customWidth="1"/>
    <col min="23" max="23" width="16.88671875" bestFit="1" customWidth="1"/>
    <col min="24" max="24" width="15.88671875" bestFit="1" customWidth="1"/>
    <col min="25" max="25" width="22.6640625" bestFit="1" customWidth="1"/>
  </cols>
  <sheetData>
    <row r="1" spans="1:7" x14ac:dyDescent="0.3">
      <c r="A1" s="13" t="s">
        <v>30</v>
      </c>
      <c r="B1" s="13"/>
      <c r="C1" s="13"/>
      <c r="D1" s="13"/>
    </row>
    <row r="2" spans="1:7" x14ac:dyDescent="0.3">
      <c r="A2" s="13"/>
      <c r="B2" s="13"/>
      <c r="C2" s="13"/>
      <c r="D2" s="13"/>
    </row>
    <row r="3" spans="1:7" x14ac:dyDescent="0.3">
      <c r="A3" s="3" t="s">
        <v>12</v>
      </c>
      <c r="B3" t="s">
        <v>14</v>
      </c>
      <c r="C3" s="8" t="s">
        <v>16</v>
      </c>
      <c r="D3" t="s">
        <v>17</v>
      </c>
    </row>
    <row r="4" spans="1:7" x14ac:dyDescent="0.3">
      <c r="A4" s="4" t="s">
        <v>24</v>
      </c>
      <c r="B4" s="14">
        <v>400</v>
      </c>
      <c r="C4" s="8">
        <v>400</v>
      </c>
      <c r="D4" s="14">
        <v>80</v>
      </c>
    </row>
    <row r="5" spans="1:7" x14ac:dyDescent="0.3">
      <c r="A5" s="4" t="s">
        <v>25</v>
      </c>
      <c r="B5" s="14">
        <v>150</v>
      </c>
      <c r="C5" s="8">
        <v>200</v>
      </c>
      <c r="D5" s="14">
        <v>30</v>
      </c>
    </row>
    <row r="6" spans="1:7" x14ac:dyDescent="0.3">
      <c r="A6" s="4" t="s">
        <v>26</v>
      </c>
      <c r="B6" s="14">
        <v>250</v>
      </c>
      <c r="C6" s="8">
        <v>300</v>
      </c>
      <c r="D6" s="14">
        <v>45</v>
      </c>
    </row>
    <row r="7" spans="1:7" x14ac:dyDescent="0.3">
      <c r="A7" s="4" t="s">
        <v>27</v>
      </c>
      <c r="B7" s="14">
        <v>200</v>
      </c>
      <c r="C7" s="8">
        <v>250</v>
      </c>
      <c r="D7" s="14">
        <v>40</v>
      </c>
    </row>
    <row r="8" spans="1:7" x14ac:dyDescent="0.3">
      <c r="A8" s="4" t="s">
        <v>28</v>
      </c>
      <c r="B8" s="14">
        <v>300</v>
      </c>
      <c r="C8" s="8">
        <v>350</v>
      </c>
      <c r="D8" s="14">
        <v>60</v>
      </c>
    </row>
    <row r="9" spans="1:7" x14ac:dyDescent="0.3">
      <c r="A9" s="4" t="s">
        <v>13</v>
      </c>
      <c r="B9" s="14">
        <v>1300</v>
      </c>
      <c r="C9" s="8">
        <v>1500</v>
      </c>
      <c r="D9" s="14">
        <v>255</v>
      </c>
    </row>
    <row r="10" spans="1:7" x14ac:dyDescent="0.3">
      <c r="C10"/>
    </row>
    <row r="11" spans="1:7" x14ac:dyDescent="0.3">
      <c r="C11"/>
    </row>
    <row r="12" spans="1:7" x14ac:dyDescent="0.3">
      <c r="A12" s="4"/>
    </row>
    <row r="13" spans="1:7" x14ac:dyDescent="0.3">
      <c r="A13" s="13" t="s">
        <v>31</v>
      </c>
      <c r="B13" s="13"/>
      <c r="C13" s="13"/>
      <c r="D13" s="13"/>
      <c r="E13" s="13"/>
      <c r="F13" s="13"/>
      <c r="G13" s="13"/>
    </row>
    <row r="14" spans="1:7" x14ac:dyDescent="0.3">
      <c r="A14" s="13"/>
      <c r="B14" s="13"/>
      <c r="C14" s="13"/>
      <c r="D14" s="13"/>
      <c r="E14" s="13"/>
      <c r="F14" s="13"/>
      <c r="G14" s="13"/>
    </row>
    <row r="15" spans="1:7" x14ac:dyDescent="0.3">
      <c r="A15" s="3" t="s">
        <v>12</v>
      </c>
      <c r="B15" t="s">
        <v>14</v>
      </c>
      <c r="C15" t="s">
        <v>15</v>
      </c>
      <c r="D15" s="8" t="s">
        <v>16</v>
      </c>
      <c r="E15" t="s">
        <v>17</v>
      </c>
      <c r="F15" s="5" t="s">
        <v>22</v>
      </c>
      <c r="G15" t="s">
        <v>23</v>
      </c>
    </row>
    <row r="16" spans="1:7" x14ac:dyDescent="0.3">
      <c r="A16" s="4" t="s">
        <v>8</v>
      </c>
      <c r="B16" s="14">
        <v>200</v>
      </c>
      <c r="C16" s="14">
        <v>6500</v>
      </c>
      <c r="D16" s="8">
        <v>250</v>
      </c>
      <c r="E16" s="14">
        <v>40</v>
      </c>
      <c r="F16" s="5">
        <v>1.25</v>
      </c>
      <c r="G16" s="14">
        <v>6.1538461538461538E-3</v>
      </c>
    </row>
    <row r="17" spans="1:7" x14ac:dyDescent="0.3">
      <c r="A17" s="4" t="s">
        <v>10</v>
      </c>
      <c r="B17" s="14">
        <v>400</v>
      </c>
      <c r="C17" s="14">
        <v>10000</v>
      </c>
      <c r="D17" s="8">
        <v>400</v>
      </c>
      <c r="E17" s="14">
        <v>80</v>
      </c>
      <c r="F17" s="5">
        <v>1</v>
      </c>
      <c r="G17" s="14">
        <v>8.0000000000000002E-3</v>
      </c>
    </row>
    <row r="18" spans="1:7" x14ac:dyDescent="0.3">
      <c r="A18" s="4" t="s">
        <v>6</v>
      </c>
      <c r="B18" s="14">
        <v>150</v>
      </c>
      <c r="C18" s="14">
        <v>5000</v>
      </c>
      <c r="D18" s="8">
        <v>200</v>
      </c>
      <c r="E18" s="14">
        <v>30</v>
      </c>
      <c r="F18" s="5">
        <v>1.3333333333333333</v>
      </c>
      <c r="G18" s="14">
        <v>6.0000000000000001E-3</v>
      </c>
    </row>
    <row r="19" spans="1:7" x14ac:dyDescent="0.3">
      <c r="A19" s="4" t="s">
        <v>7</v>
      </c>
      <c r="B19" s="14">
        <v>250</v>
      </c>
      <c r="C19" s="14">
        <v>7500</v>
      </c>
      <c r="D19" s="8">
        <v>300</v>
      </c>
      <c r="E19" s="14">
        <v>45</v>
      </c>
      <c r="F19" s="5">
        <v>1.2</v>
      </c>
      <c r="G19" s="14">
        <v>6.0000000000000001E-3</v>
      </c>
    </row>
    <row r="20" spans="1:7" x14ac:dyDescent="0.3">
      <c r="A20" s="4" t="s">
        <v>11</v>
      </c>
      <c r="B20" s="14">
        <v>1300</v>
      </c>
      <c r="C20" s="14">
        <v>37000</v>
      </c>
      <c r="D20" s="8">
        <v>1500</v>
      </c>
      <c r="E20" s="14">
        <v>255</v>
      </c>
      <c r="F20" s="5">
        <v>5.95</v>
      </c>
      <c r="G20" s="14">
        <v>3.3653846153846152E-2</v>
      </c>
    </row>
    <row r="21" spans="1:7" x14ac:dyDescent="0.3">
      <c r="A21" s="4" t="s">
        <v>9</v>
      </c>
      <c r="B21" s="14">
        <v>300</v>
      </c>
      <c r="C21" s="14">
        <v>8000</v>
      </c>
      <c r="D21" s="8">
        <v>350</v>
      </c>
      <c r="E21" s="14">
        <v>60</v>
      </c>
      <c r="F21" s="5">
        <v>1.1666666666666667</v>
      </c>
      <c r="G21" s="14">
        <v>7.4999999999999997E-3</v>
      </c>
    </row>
    <row r="22" spans="1:7" x14ac:dyDescent="0.3">
      <c r="A22" s="4" t="s">
        <v>13</v>
      </c>
      <c r="B22" s="14">
        <v>2600</v>
      </c>
      <c r="C22" s="14">
        <v>74000</v>
      </c>
      <c r="D22" s="8">
        <v>3000</v>
      </c>
      <c r="E22" s="14">
        <v>510</v>
      </c>
      <c r="F22" s="5">
        <v>11.9</v>
      </c>
      <c r="G22" s="14">
        <v>6.7307692307692304E-2</v>
      </c>
    </row>
    <row r="23" spans="1:7" x14ac:dyDescent="0.3">
      <c r="C23"/>
    </row>
    <row r="24" spans="1:7" x14ac:dyDescent="0.3">
      <c r="A24" s="4"/>
      <c r="C24"/>
      <c r="D24" s="8"/>
      <c r="F24" s="5"/>
      <c r="G24" s="7"/>
    </row>
    <row r="25" spans="1:7" x14ac:dyDescent="0.3">
      <c r="A25" s="4"/>
      <c r="C25"/>
      <c r="D25" s="8"/>
      <c r="F25" s="5"/>
      <c r="G25" s="7"/>
    </row>
    <row r="26" spans="1:7" x14ac:dyDescent="0.3">
      <c r="A26" s="13" t="s">
        <v>32</v>
      </c>
      <c r="B26" s="13"/>
      <c r="C26" s="13"/>
      <c r="D26" s="13"/>
      <c r="E26" s="13"/>
      <c r="F26" s="5"/>
      <c r="G26" s="7"/>
    </row>
    <row r="27" spans="1:7" x14ac:dyDescent="0.3">
      <c r="A27" s="13"/>
      <c r="B27" s="13"/>
      <c r="C27" s="13"/>
      <c r="D27" s="13"/>
      <c r="E27" s="13"/>
    </row>
    <row r="28" spans="1:7" x14ac:dyDescent="0.3">
      <c r="A28" s="3" t="s">
        <v>12</v>
      </c>
      <c r="B28" t="s">
        <v>17</v>
      </c>
      <c r="C28" t="s">
        <v>14</v>
      </c>
      <c r="D28" t="s">
        <v>23</v>
      </c>
      <c r="E28" s="5" t="s">
        <v>29</v>
      </c>
    </row>
    <row r="29" spans="1:7" x14ac:dyDescent="0.3">
      <c r="A29" s="4" t="s">
        <v>8</v>
      </c>
      <c r="B29" s="14">
        <v>40</v>
      </c>
      <c r="C29" s="14">
        <v>200</v>
      </c>
      <c r="D29" s="14">
        <v>6.1538461538461538E-3</v>
      </c>
      <c r="E29" s="5">
        <v>0.2</v>
      </c>
    </row>
    <row r="30" spans="1:7" x14ac:dyDescent="0.3">
      <c r="A30" s="4" t="s">
        <v>10</v>
      </c>
      <c r="B30" s="14">
        <v>80</v>
      </c>
      <c r="C30" s="14">
        <v>400</v>
      </c>
      <c r="D30" s="14">
        <v>8.0000000000000002E-3</v>
      </c>
      <c r="E30" s="5">
        <v>0.2</v>
      </c>
    </row>
    <row r="31" spans="1:7" x14ac:dyDescent="0.3">
      <c r="A31" s="4" t="s">
        <v>6</v>
      </c>
      <c r="B31" s="14">
        <v>30</v>
      </c>
      <c r="C31" s="14">
        <v>150</v>
      </c>
      <c r="D31" s="14">
        <v>6.0000000000000001E-3</v>
      </c>
      <c r="E31" s="5">
        <v>0.2</v>
      </c>
    </row>
    <row r="32" spans="1:7" x14ac:dyDescent="0.3">
      <c r="A32" s="4" t="s">
        <v>7</v>
      </c>
      <c r="B32" s="14">
        <v>45</v>
      </c>
      <c r="C32" s="14">
        <v>250</v>
      </c>
      <c r="D32" s="14">
        <v>6.0000000000000001E-3</v>
      </c>
      <c r="E32" s="5">
        <v>0.18</v>
      </c>
    </row>
    <row r="33" spans="1:5" x14ac:dyDescent="0.3">
      <c r="A33" s="4" t="s">
        <v>11</v>
      </c>
      <c r="B33" s="14">
        <v>255</v>
      </c>
      <c r="C33" s="14">
        <v>1300</v>
      </c>
      <c r="D33" s="14">
        <v>3.3653846153846152E-2</v>
      </c>
      <c r="E33" s="5">
        <v>0.98</v>
      </c>
    </row>
    <row r="34" spans="1:5" x14ac:dyDescent="0.3">
      <c r="A34" s="4" t="s">
        <v>9</v>
      </c>
      <c r="B34" s="14">
        <v>60</v>
      </c>
      <c r="C34" s="14">
        <v>300</v>
      </c>
      <c r="D34" s="14">
        <v>7.4999999999999997E-3</v>
      </c>
      <c r="E34" s="5">
        <v>0.2</v>
      </c>
    </row>
    <row r="35" spans="1:5" x14ac:dyDescent="0.3">
      <c r="A35" s="4" t="s">
        <v>13</v>
      </c>
      <c r="B35" s="14">
        <v>510</v>
      </c>
      <c r="C35" s="14">
        <v>2600</v>
      </c>
      <c r="D35" s="14">
        <v>6.7307692307692304E-2</v>
      </c>
      <c r="E35" s="5">
        <v>1.96</v>
      </c>
    </row>
    <row r="36" spans="1:5" x14ac:dyDescent="0.3">
      <c r="C36"/>
    </row>
  </sheetData>
  <mergeCells count="3">
    <mergeCell ref="A1:D2"/>
    <mergeCell ref="A13:G14"/>
    <mergeCell ref="A26:E2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5226-5EE2-45C4-89F3-362D62341AB3}">
  <dimension ref="A1"/>
  <sheetViews>
    <sheetView tabSelected="1" workbookViewId="0">
      <selection activeCell="U66" sqref="U6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A6CD553-8905-407D-8FE8-5FBAE8174D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Sheet1</vt:lpstr>
      <vt:lpstr>Sheet3</vt:lpstr>
      <vt:lpstr>Marketing_campaign_analysis_dat</vt:lpstr>
      <vt:lpstr>Pivot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Janay Wesso</dc:creator>
  <cp:lastModifiedBy>Janay Wesso</cp:lastModifiedBy>
  <dcterms:created xsi:type="dcterms:W3CDTF">2015-06-05T18:17:20Z</dcterms:created>
  <dcterms:modified xsi:type="dcterms:W3CDTF">2025-08-14T08:34:31Z</dcterms:modified>
</cp:coreProperties>
</file>